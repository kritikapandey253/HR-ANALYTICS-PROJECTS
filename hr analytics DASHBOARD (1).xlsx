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10"/>
  <workbookPr dateCompatibility="0" hidePivotFieldList="1" defaultThemeVersion="202300"/>
  <mc:AlternateContent xmlns:mc="http://schemas.openxmlformats.org/markup-compatibility/2006">
    <mc:Choice Requires="x15">
      <x15ac:absPath xmlns:x15ac="http://schemas.microsoft.com/office/spreadsheetml/2010/11/ac" url="/Users/kritikapandey/Downloads/"/>
    </mc:Choice>
  </mc:AlternateContent>
  <xr:revisionPtr revIDLastSave="0" documentId="13_ncr:9_{122CCEBD-5A16-1641-9465-75477448CCB3}" xr6:coauthVersionLast="47" xr6:coauthVersionMax="47" xr10:uidLastSave="{00000000-0000-0000-0000-000000000000}"/>
  <bookViews>
    <workbookView xWindow="0" yWindow="660" windowWidth="29400" windowHeight="16980" activeTab="2" xr2:uid="{24ADA2CA-19E0-4F8A-B6D9-8D952DA4A3FC}"/>
  </bookViews>
  <sheets>
    <sheet name="Sheet2" sheetId="2" r:id="rId1"/>
    <sheet name="Sheet3" sheetId="4" r:id="rId2"/>
    <sheet name="dashboard 2" sheetId="5" r:id="rId3"/>
    <sheet name="Sheet1" sheetId="1" r:id="rId4"/>
  </sheets>
  <definedNames>
    <definedName name="_xlchart.v2.0" hidden="1">Sheet2!$R$20:$R$26</definedName>
    <definedName name="_xlchart.v2.1" hidden="1">Sheet2!$S$19</definedName>
    <definedName name="_xlchart.v2.10" hidden="1">Sheet2!$S$19</definedName>
    <definedName name="_xlchart.v2.11" hidden="1">Sheet2!$S$20:$S$26</definedName>
    <definedName name="_xlchart.v2.2" hidden="1">Sheet2!$S$20:$S$26</definedName>
    <definedName name="_xlchart.v2.3" hidden="1">Sheet2!$M$27:$M$31</definedName>
    <definedName name="_xlchart.v2.4" hidden="1">Sheet2!$N$26</definedName>
    <definedName name="_xlchart.v2.5" hidden="1">Sheet2!$N$27:$N$31</definedName>
    <definedName name="_xlchart.v2.6" hidden="1">Sheet2!$M$27:$M$30</definedName>
    <definedName name="_xlchart.v2.7" hidden="1">Sheet2!$N$26</definedName>
    <definedName name="_xlchart.v2.8" hidden="1">Sheet2!$N$27:$N$30</definedName>
    <definedName name="_xlchart.v2.9" hidden="1">Sheet2!$R$20:$R$26</definedName>
    <definedName name="Slicer_Category">#N/A</definedName>
    <definedName name="Slicer_Department">#N/A</definedName>
    <definedName name="Slicer_Emp_Status">#N/A</definedName>
    <definedName name="Slicer_Reporting_Manager">#N/A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L6" i="2" l="1"/>
  <c r="A23" i="2"/>
  <c r="A24" i="2"/>
  <c r="A25" i="2"/>
  <c r="A26" i="2"/>
  <c r="A27" i="2"/>
  <c r="A22" i="2"/>
  <c r="T23" i="2"/>
  <c r="T27" i="2"/>
  <c r="T20" i="2"/>
  <c r="C24" i="2"/>
  <c r="S46" i="2"/>
  <c r="S5" i="2"/>
  <c r="C26" i="2"/>
  <c r="D25" i="2"/>
  <c r="S47" i="2"/>
  <c r="S43" i="2"/>
  <c r="B16" i="2"/>
  <c r="S33" i="2"/>
  <c r="N31" i="2"/>
  <c r="D23" i="2"/>
  <c r="N28" i="2"/>
  <c r="S8" i="2"/>
  <c r="B17" i="2"/>
  <c r="B25" i="2"/>
  <c r="S11" i="2"/>
  <c r="B15" i="2"/>
  <c r="B22" i="2"/>
  <c r="N29" i="2"/>
  <c r="S10" i="2"/>
  <c r="S9" i="2"/>
  <c r="S41" i="2"/>
  <c r="S12" i="2"/>
  <c r="K5" i="2"/>
  <c r="S25" i="2"/>
  <c r="S7" i="2"/>
  <c r="B23" i="2"/>
  <c r="C25" i="2"/>
  <c r="D24" i="2"/>
  <c r="B18" i="2"/>
  <c r="B27" i="2"/>
  <c r="S34" i="2"/>
  <c r="B24" i="2"/>
  <c r="S6" i="2"/>
  <c r="B14" i="2"/>
  <c r="C22" i="2"/>
  <c r="C27" i="2"/>
  <c r="S22" i="2"/>
  <c r="N30" i="2"/>
  <c r="S44" i="2"/>
  <c r="N27" i="2"/>
  <c r="K4" i="2"/>
  <c r="S45" i="2"/>
  <c r="S26" i="2"/>
  <c r="S35" i="2"/>
  <c r="S21" i="2"/>
  <c r="S24" i="2"/>
  <c r="S42" i="2"/>
  <c r="C23" i="2"/>
  <c r="T6" i="2" l="1"/>
  <c r="O31" i="2"/>
  <c r="T12" i="2"/>
  <c r="T35" i="2"/>
  <c r="T5" i="2"/>
  <c r="T22" i="2"/>
  <c r="T41" i="2"/>
  <c r="T42" i="2"/>
  <c r="T43" i="2"/>
  <c r="T44" i="2"/>
  <c r="O28" i="2"/>
  <c r="T9" i="2"/>
  <c r="T24" i="2"/>
  <c r="T45" i="2"/>
  <c r="T25" i="2"/>
  <c r="T7" i="2"/>
  <c r="O27" i="2"/>
  <c r="T26" i="2"/>
  <c r="O29" i="2"/>
  <c r="T10" i="2"/>
  <c r="T33" i="2"/>
  <c r="T46" i="2"/>
  <c r="L5" i="2"/>
  <c r="L4" i="2"/>
  <c r="T21" i="2"/>
  <c r="T8" i="2"/>
  <c r="O30" i="2"/>
  <c r="T11" i="2"/>
  <c r="T34" i="2"/>
  <c r="T47" i="2"/>
  <c r="E22" i="2"/>
  <c r="E23" i="2"/>
  <c r="E24" i="2" s="1"/>
  <c r="E25" i="2" s="1"/>
  <c r="E26" i="2" s="1"/>
  <c r="E27" i="2"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<sst xmlns="http://purl.oclc.org/ooxml/spreadsheetml/main" count="1574" uniqueCount="275">
  <si>
    <t>Emp Status</t>
  </si>
  <si>
    <t>Movement</t>
  </si>
  <si>
    <t>Emp Id</t>
  </si>
  <si>
    <t>Name</t>
  </si>
  <si>
    <t>Date of Joining</t>
  </si>
  <si>
    <t>Data of Relieving</t>
  </si>
  <si>
    <t>Reporting Manager</t>
  </si>
  <si>
    <t>Emp Type</t>
  </si>
  <si>
    <t>Category</t>
  </si>
  <si>
    <t>Date of Birth</t>
  </si>
  <si>
    <t>Marital status</t>
  </si>
  <si>
    <t>Grade</t>
  </si>
  <si>
    <t>Department</t>
  </si>
  <si>
    <t>Total Experience</t>
  </si>
  <si>
    <t>Year</t>
  </si>
  <si>
    <t>Stability</t>
  </si>
  <si>
    <t>On-Board</t>
  </si>
  <si>
    <t>IJP</t>
  </si>
  <si>
    <t>CT18807</t>
  </si>
  <si>
    <t>Adrian Odonnell</t>
  </si>
  <si>
    <t>Roberta Moyer</t>
  </si>
  <si>
    <t>Contract</t>
  </si>
  <si>
    <t>Male</t>
  </si>
  <si>
    <t>Single</t>
  </si>
  <si>
    <t>Operations</t>
  </si>
  <si>
    <t>Attrition</t>
  </si>
  <si>
    <t>CT12674</t>
  </si>
  <si>
    <t>Marina Velazquez</t>
  </si>
  <si>
    <t>Married</t>
  </si>
  <si>
    <t>Trainees</t>
  </si>
  <si>
    <t>Accounting</t>
  </si>
  <si>
    <t>CT11735</t>
  </si>
  <si>
    <t>Regina Schaefer</t>
  </si>
  <si>
    <t>CT10131</t>
  </si>
  <si>
    <t>Donna Sparks</t>
  </si>
  <si>
    <t>Legal</t>
  </si>
  <si>
    <t>CT16953</t>
  </si>
  <si>
    <t>Sal Glass</t>
  </si>
  <si>
    <t>Ryan Simmons</t>
  </si>
  <si>
    <t>Female</t>
  </si>
  <si>
    <t>Marketing</t>
  </si>
  <si>
    <t>CT11213</t>
  </si>
  <si>
    <t>Malik Schneider</t>
  </si>
  <si>
    <t>Darryl Leon</t>
  </si>
  <si>
    <t>Finance</t>
  </si>
  <si>
    <t>CT17933</t>
  </si>
  <si>
    <t>Fanny Hampton</t>
  </si>
  <si>
    <t>CT17253</t>
  </si>
  <si>
    <t>Edison York</t>
  </si>
  <si>
    <t>HR</t>
  </si>
  <si>
    <t>CT14693</t>
  </si>
  <si>
    <t>Geraldo Pugh</t>
  </si>
  <si>
    <t>Geneva Hardy</t>
  </si>
  <si>
    <t>CT11465</t>
  </si>
  <si>
    <t>Ellis Best</t>
  </si>
  <si>
    <t>CT12948</t>
  </si>
  <si>
    <t>Olen Walter</t>
  </si>
  <si>
    <t>Janelle Wiley</t>
  </si>
  <si>
    <t>CT11145</t>
  </si>
  <si>
    <t>Mckinley Baird</t>
  </si>
  <si>
    <t>CT18269</t>
  </si>
  <si>
    <t>Maura Huynh</t>
  </si>
  <si>
    <t>Sales</t>
  </si>
  <si>
    <t>CT13931</t>
  </si>
  <si>
    <t>Buster Joyce</t>
  </si>
  <si>
    <t>Alejandra Mack</t>
  </si>
  <si>
    <t>CT15252</t>
  </si>
  <si>
    <t>Rosanna Bauer</t>
  </si>
  <si>
    <t>CT13664</t>
  </si>
  <si>
    <t>Marion Harmon</t>
  </si>
  <si>
    <t>CT10043</t>
  </si>
  <si>
    <t>Shawn Ross</t>
  </si>
  <si>
    <t>CT16547</t>
  </si>
  <si>
    <t>Houston Wilson</t>
  </si>
  <si>
    <t>CT11188</t>
  </si>
  <si>
    <t>Maricela Gates</t>
  </si>
  <si>
    <t>CT14537</t>
  </si>
  <si>
    <t>Fletcher Tate</t>
  </si>
  <si>
    <t>CT14690</t>
  </si>
  <si>
    <t>Emily Davis</t>
  </si>
  <si>
    <t>Jefferson Perry</t>
  </si>
  <si>
    <t>CT16195</t>
  </si>
  <si>
    <t>Penelope Jordan</t>
  </si>
  <si>
    <t>CT16735</t>
  </si>
  <si>
    <t>Alfredo Mcclain</t>
  </si>
  <si>
    <t>Preston Case</t>
  </si>
  <si>
    <t>Permanent</t>
  </si>
  <si>
    <t>Branden Kaiser</t>
  </si>
  <si>
    <t>Julia Bell</t>
  </si>
  <si>
    <t>Management</t>
  </si>
  <si>
    <t>Sammy Hancock</t>
  </si>
  <si>
    <t>Mabel Cuevas</t>
  </si>
  <si>
    <t>Norris Madden</t>
  </si>
  <si>
    <t>Vincenzo Mcdowell</t>
  </si>
  <si>
    <t>Chris Mcbride</t>
  </si>
  <si>
    <t>Wesley Berger</t>
  </si>
  <si>
    <t>Bart Sims</t>
  </si>
  <si>
    <t>Professional</t>
  </si>
  <si>
    <t>Tricia Arroyo</t>
  </si>
  <si>
    <t>Kennith Barber</t>
  </si>
  <si>
    <t>Alonzo Harrison</t>
  </si>
  <si>
    <t>Kirk Wagner</t>
  </si>
  <si>
    <t>Zackary Tucker</t>
  </si>
  <si>
    <t>Roberto Ford</t>
  </si>
  <si>
    <t>Sadie Mcmahon</t>
  </si>
  <si>
    <t>Darla Parks</t>
  </si>
  <si>
    <t>Letitia Church</t>
  </si>
  <si>
    <t>Collin Paul</t>
  </si>
  <si>
    <t>Frances Leblanc</t>
  </si>
  <si>
    <t>Alexis Conway</t>
  </si>
  <si>
    <t>Chi Preston</t>
  </si>
  <si>
    <t>Randolph Reilly</t>
  </si>
  <si>
    <t>Howard Wiggins</t>
  </si>
  <si>
    <t>Palmer Hart</t>
  </si>
  <si>
    <t>Lesa Terrell</t>
  </si>
  <si>
    <t>Celeste Moses</t>
  </si>
  <si>
    <t>Leanne Mosley</t>
  </si>
  <si>
    <t>Renaldo Navarro</t>
  </si>
  <si>
    <t>Sonia Ortiz</t>
  </si>
  <si>
    <t>Faith Lopez</t>
  </si>
  <si>
    <t>Kim Ramirez</t>
  </si>
  <si>
    <t>Mariana Chavez</t>
  </si>
  <si>
    <t>Tracey Burch</t>
  </si>
  <si>
    <t>Gabriela Juarez</t>
  </si>
  <si>
    <t>Katheryn Trevino</t>
  </si>
  <si>
    <t>Angelita Townsend</t>
  </si>
  <si>
    <t>Damon Burgess</t>
  </si>
  <si>
    <t>Olen Watts</t>
  </si>
  <si>
    <t>Raymond Levine</t>
  </si>
  <si>
    <t>Sally Hinton</t>
  </si>
  <si>
    <t>Katelyn Ware</t>
  </si>
  <si>
    <t>Jessie Bowen</t>
  </si>
  <si>
    <t>Mac Marquez</t>
  </si>
  <si>
    <t>OnRoll</t>
  </si>
  <si>
    <t>Spencer Webb</t>
  </si>
  <si>
    <t>Valentin Mcdonald</t>
  </si>
  <si>
    <t>Transfer</t>
  </si>
  <si>
    <t>Royce Schneider</t>
  </si>
  <si>
    <t>Kara Mclean</t>
  </si>
  <si>
    <t>Damian Mckee</t>
  </si>
  <si>
    <t>Mohamed Duran</t>
  </si>
  <si>
    <t>Vera Harvey</t>
  </si>
  <si>
    <t>Cristina David</t>
  </si>
  <si>
    <t>Florence Randall</t>
  </si>
  <si>
    <t>Andrea Logan</t>
  </si>
  <si>
    <t>Barrett Wallace</t>
  </si>
  <si>
    <t>Claude Ramsey</t>
  </si>
  <si>
    <t>Mason Wells</t>
  </si>
  <si>
    <t>Whitney Vance</t>
  </si>
  <si>
    <t>Bobbie Harvey</t>
  </si>
  <si>
    <t>Russel Fox</t>
  </si>
  <si>
    <t>Benita Holland</t>
  </si>
  <si>
    <t>Cory Leblanc</t>
  </si>
  <si>
    <t>Isaiah George</t>
  </si>
  <si>
    <t>Brad Nichols</t>
  </si>
  <si>
    <t>Quentin Mcdonald</t>
  </si>
  <si>
    <t>Johnie Pruitt</t>
  </si>
  <si>
    <t>Walker Whitney</t>
  </si>
  <si>
    <t>Alexander Fowler</t>
  </si>
  <si>
    <t>Susanna Humphrey</t>
  </si>
  <si>
    <t>Beth Lowe</t>
  </si>
  <si>
    <t>Casandra Aguilar</t>
  </si>
  <si>
    <t>Lynn Andersen</t>
  </si>
  <si>
    <t>Leola Vega</t>
  </si>
  <si>
    <t>Hillary Spencer</t>
  </si>
  <si>
    <t>Joesph Jones</t>
  </si>
  <si>
    <t>Otha May</t>
  </si>
  <si>
    <t>Ophelia Black</t>
  </si>
  <si>
    <t>Helena Williamson</t>
  </si>
  <si>
    <t>Megan Kent</t>
  </si>
  <si>
    <t>Rufus Escobar</t>
  </si>
  <si>
    <t>Ericka Hurst</t>
  </si>
  <si>
    <t>Johnny Cisneros</t>
  </si>
  <si>
    <t>Alba Norton</t>
  </si>
  <si>
    <t>Sanford Patterson</t>
  </si>
  <si>
    <t>Blanche Greer</t>
  </si>
  <si>
    <t>Nita Powers</t>
  </si>
  <si>
    <t>Francesco Blanchard</t>
  </si>
  <si>
    <t>Elias Davis</t>
  </si>
  <si>
    <t>Lucio Christian</t>
  </si>
  <si>
    <t>Greg Schaefer</t>
  </si>
  <si>
    <t>Adriana Little</t>
  </si>
  <si>
    <t>Abdul Khan</t>
  </si>
  <si>
    <t>Marissa Mckee</t>
  </si>
  <si>
    <t>Ashlee Ortega</t>
  </si>
  <si>
    <t>Edmund Lawson</t>
  </si>
  <si>
    <t>Linda Jacobs</t>
  </si>
  <si>
    <t>Kelley Harding</t>
  </si>
  <si>
    <t>Rose Carney</t>
  </si>
  <si>
    <t>Emery Goodwin</t>
  </si>
  <si>
    <t>Derick Singh</t>
  </si>
  <si>
    <t>Hassan Wilcox</t>
  </si>
  <si>
    <t>Natalie Serrano</t>
  </si>
  <si>
    <t>Sandy Singleton</t>
  </si>
  <si>
    <t>Josiah Hart</t>
  </si>
  <si>
    <t>Wayne Hartman</t>
  </si>
  <si>
    <t>Sallie Carpenter</t>
  </si>
  <si>
    <t>Allen Walters</t>
  </si>
  <si>
    <t>Flora Bass</t>
  </si>
  <si>
    <t>Roberto Harper</t>
  </si>
  <si>
    <t>Isabella Miles</t>
  </si>
  <si>
    <t>Consuelo Beck</t>
  </si>
  <si>
    <t>Barney Velasquez</t>
  </si>
  <si>
    <t>Jamaal Delgado</t>
  </si>
  <si>
    <t>Glenda Ayers</t>
  </si>
  <si>
    <t>Vonda Chandler</t>
  </si>
  <si>
    <t>Elma Perkins</t>
  </si>
  <si>
    <t>Irving Good</t>
  </si>
  <si>
    <t>Carlo Stephens</t>
  </si>
  <si>
    <t>Fermin Maddox</t>
  </si>
  <si>
    <t>Wendell Bonilla</t>
  </si>
  <si>
    <t>Hank Copeland</t>
  </si>
  <si>
    <t>Luciano Arnold</t>
  </si>
  <si>
    <t>Aimee Freeman</t>
  </si>
  <si>
    <t>Jarrett Henson</t>
  </si>
  <si>
    <t>Garland Barber</t>
  </si>
  <si>
    <t>Filiberto Baird</t>
  </si>
  <si>
    <t>Reed Pena</t>
  </si>
  <si>
    <t>Cecile Garner</t>
  </si>
  <si>
    <t>Art Kim</t>
  </si>
  <si>
    <t>Grover Kramer</t>
  </si>
  <si>
    <t>Milan Pope</t>
  </si>
  <si>
    <t>Randal Mata</t>
  </si>
  <si>
    <t>Pete Arroyo</t>
  </si>
  <si>
    <t>Luna Sanders</t>
  </si>
  <si>
    <t>Santos Mooney</t>
  </si>
  <si>
    <t>Theodore Dinh</t>
  </si>
  <si>
    <t>Austin Vo</t>
  </si>
  <si>
    <t>Jermaine Benitez</t>
  </si>
  <si>
    <t>Joshua Gupta</t>
  </si>
  <si>
    <t>Dave Armstrong</t>
  </si>
  <si>
    <t>Column1</t>
  </si>
  <si>
    <t>Row Labels</t>
  </si>
  <si>
    <t>Grand Total</t>
  </si>
  <si>
    <t>Column Labels</t>
  </si>
  <si>
    <t>Count of Name</t>
  </si>
  <si>
    <t>KPI VALUE</t>
  </si>
  <si>
    <t>VALUE</t>
  </si>
  <si>
    <t>OVERALL HC</t>
  </si>
  <si>
    <t>ACTIVE HC</t>
  </si>
  <si>
    <t xml:space="preserve"> ATTRITION</t>
  </si>
  <si>
    <t>ATTRITION%</t>
  </si>
  <si>
    <t>TRANSFER</t>
  </si>
  <si>
    <t>GENDER</t>
  </si>
  <si>
    <t>HC</t>
  </si>
  <si>
    <t>HC%</t>
  </si>
  <si>
    <t>LEVELS</t>
  </si>
  <si>
    <t>DEPARTMENT</t>
  </si>
  <si>
    <t>MANAGERS</t>
  </si>
  <si>
    <t>HC REPORTING</t>
  </si>
  <si>
    <t>LABEL</t>
  </si>
  <si>
    <t>&lt;1 year</t>
  </si>
  <si>
    <t>1+ years</t>
  </si>
  <si>
    <t>2+ years</t>
  </si>
  <si>
    <t>3+ years</t>
  </si>
  <si>
    <t>4+ years</t>
  </si>
  <si>
    <t>5+ years</t>
  </si>
  <si>
    <t xml:space="preserve"> </t>
  </si>
  <si>
    <t>STABILITY</t>
  </si>
  <si>
    <t>YEAR</t>
  </si>
  <si>
    <t>ATTRITION</t>
  </si>
  <si>
    <t>ON-B</t>
  </si>
  <si>
    <t>HC GROWTH</t>
  </si>
  <si>
    <t>(blank)</t>
  </si>
  <si>
    <t>Feb</t>
  </si>
  <si>
    <t>Mar</t>
  </si>
  <si>
    <t>Apr</t>
  </si>
  <si>
    <t>Jun</t>
  </si>
  <si>
    <t>Jul</t>
  </si>
  <si>
    <t>Sep</t>
  </si>
  <si>
    <t>Oct</t>
  </si>
  <si>
    <t>Nov</t>
  </si>
  <si>
    <t>Dec</t>
  </si>
  <si>
    <t>Jan</t>
  </si>
  <si>
    <t>Sum of Total Experience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</si>
</sst>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
  </numFmts>
  <fonts count="6"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
      <sz val="11"/>
      <color theme="1"/>
      <name val="Aptos Narrow"/>
      <family val="2"/>
      <scheme val="minor"/>
    </font>
    <font>
      <b/>
      <sz val="10"/>
      <color theme="1"/>
      <name val="Aptos Narrow"/>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92D050"/>
        <bgColor indexed="64"/>
      </patternFill>
    </fill>
    <fill>
      <patternFill patternType="solid">
        <fgColor theme="0"/>
        <bgColor indexed="64"/>
      </patternFill>
    </fill>
    <fill>
      <patternFill patternType="solid">
        <fgColor theme="9" tint="0.39997558519241921"/>
        <bgColor indexed="64"/>
      </patternFill>
    </fill>
    <fill>
      <patternFill patternType="solid">
        <fgColor theme="5" tint="0.59999389629810485"/>
        <bgColor indexed="64"/>
      </patternFill>
    </fill>
  </fills>
  <borders count="18">
    <border>
      <start/>
      <end/>
      <top/>
      <bottom/>
      <diagonal/>
    </border>
    <border>
      <start style="hair">
        <color auto="1"/>
      </start>
      <end style="hair">
        <color auto="1"/>
      </end>
      <top/>
      <bottom style="hair">
        <color auto="1"/>
      </bottom>
      <diagonal/>
    </border>
    <border>
      <start style="hair">
        <color auto="1"/>
      </start>
      <end style="hair">
        <color auto="1"/>
      </end>
      <top style="hair">
        <color auto="1"/>
      </top>
      <bottom style="hair">
        <color auto="1"/>
      </bottom>
      <diagonal/>
    </border>
    <border>
      <start style="medium">
        <color indexed="64"/>
      </start>
      <end style="medium">
        <color indexed="64"/>
      </end>
      <top style="medium">
        <color indexed="64"/>
      </top>
      <bottom style="medium">
        <color indexed="64"/>
      </bottom>
      <diagonal/>
    </border>
    <border>
      <start style="medium">
        <color indexed="64"/>
      </start>
      <end/>
      <top style="medium">
        <color indexed="64"/>
      </top>
      <bottom/>
      <diagonal/>
    </border>
    <border>
      <start/>
      <end/>
      <top style="medium">
        <color indexed="64"/>
      </top>
      <bottom/>
      <diagonal/>
    </border>
    <border>
      <start/>
      <end style="medium">
        <color indexed="64"/>
      </end>
      <top style="medium">
        <color indexed="64"/>
      </top>
      <bottom/>
      <diagonal/>
    </border>
    <border>
      <start style="medium">
        <color indexed="64"/>
      </start>
      <end/>
      <top/>
      <bottom/>
      <diagonal/>
    </border>
    <border>
      <start/>
      <end style="medium">
        <color indexed="64"/>
      </end>
      <top/>
      <bottom/>
      <diagonal/>
    </border>
    <border>
      <start style="medium">
        <color indexed="64"/>
      </start>
      <end/>
      <top/>
      <bottom style="medium">
        <color indexed="64"/>
      </bottom>
      <diagonal/>
    </border>
    <border>
      <start/>
      <end/>
      <top/>
      <bottom style="medium">
        <color indexed="64"/>
      </bottom>
      <diagonal/>
    </border>
    <border>
      <start/>
      <end style="medium">
        <color indexed="64"/>
      </end>
      <top/>
      <bottom style="medium">
        <color indexed="64"/>
      </bottom>
      <diagonal/>
    </border>
    <border>
      <start style="thin">
        <color indexed="64"/>
      </start>
      <end style="thin">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style="medium">
        <color indexed="64"/>
      </start>
      <end style="medium">
        <color indexed="64"/>
      </end>
      <top style="medium">
        <color indexed="64"/>
      </top>
      <bottom/>
      <diagonal/>
    </border>
    <border>
      <start style="medium">
        <color indexed="64"/>
      </start>
      <end style="medium">
        <color indexed="64"/>
      </end>
      <top/>
      <bottom/>
      <diagonal/>
    </border>
    <border>
      <start style="medium">
        <color indexed="64"/>
      </start>
      <end style="medium">
        <color indexed="64"/>
      </end>
      <top/>
      <bottom style="medium">
        <color indexed="64"/>
      </bottom>
      <diagonal/>
    </border>
  </borders>
  <cellStyleXfs count="2">
    <xf numFmtId="0" fontId="0" fillId="0" borderId="0"/>
    <xf numFmtId="9" fontId="4" fillId="0" borderId="0" applyFont="0" applyFill="0" applyBorder="0" applyAlignment="0" applyProtection="0"/>
  </cellStyleXfs>
  <cellXfs count="62">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2" xfId="0" applyFont="1" applyBorder="1"/>
    <xf numFmtId="0" fontId="3" fillId="0" borderId="2" xfId="0" applyFont="1" applyBorder="1" applyAlignment="1">
      <alignment horizontal="left"/>
    </xf>
    <xf numFmtId="0" fontId="3" fillId="0" borderId="2" xfId="0" applyFont="1" applyBorder="1"/>
    <xf numFmtId="164" fontId="3" fillId="0" borderId="2" xfId="0" applyNumberFormat="1" applyFont="1" applyBorder="1" applyAlignment="1">
      <alignment horizontal="right" vertical="center"/>
    </xf>
    <xf numFmtId="164" fontId="3" fillId="0" borderId="2" xfId="0" applyNumberFormat="1" applyFont="1" applyBorder="1" applyAlignment="1">
      <alignment horizontal="left" vertical="center"/>
    </xf>
    <xf numFmtId="165" fontId="3" fillId="0" borderId="2" xfId="0" applyNumberFormat="1" applyFont="1" applyBorder="1" applyAlignment="1">
      <alignment horizontal="left"/>
    </xf>
    <xf numFmtId="0" fontId="3" fillId="3" borderId="2" xfId="0" applyFont="1" applyFill="1" applyBorder="1"/>
    <xf numFmtId="0" fontId="5" fillId="2" borderId="1" xfId="0" applyFont="1" applyFill="1" applyBorder="1" applyAlignment="1">
      <alignment vertical="center" wrapText="1"/>
    </xf>
    <xf numFmtId="0" fontId="0" fillId="0" borderId="0" xfId="0" pivotButton="1"/>
    <xf numFmtId="0" fontId="0" fillId="0" borderId="0" xfId="0" applyAlignment="1">
      <alignment horizontal="left"/>
    </xf>
    <xf numFmtId="0" fontId="0" fillId="4" borderId="0" xfId="0" applyFill="1"/>
    <xf numFmtId="0" fontId="0" fillId="6" borderId="0" xfId="0" applyFill="1"/>
    <xf numFmtId="0" fontId="0" fillId="9" borderId="0" xfId="0" applyFill="1"/>
    <xf numFmtId="0" fontId="0" fillId="10" borderId="0" xfId="0" applyFill="1"/>
    <xf numFmtId="9" fontId="0" fillId="10" borderId="0" xfId="1" applyFont="1" applyFill="1"/>
    <xf numFmtId="0" fontId="0" fillId="11" borderId="0" xfId="0" applyFill="1"/>
    <xf numFmtId="9" fontId="0" fillId="6" borderId="0" xfId="1" applyFont="1" applyFill="1"/>
    <xf numFmtId="9" fontId="0" fillId="4" borderId="0" xfId="1" applyFont="1" applyFill="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0" fillId="5" borderId="7" xfId="0" applyFill="1" applyBorder="1"/>
    <xf numFmtId="0" fontId="0" fillId="5" borderId="0" xfId="0" applyFill="1"/>
    <xf numFmtId="0" fontId="0" fillId="4" borderId="7" xfId="0" applyFill="1" applyBorder="1"/>
    <xf numFmtId="9" fontId="0" fillId="4" borderId="0" xfId="1" applyFont="1" applyFill="1" applyBorder="1"/>
    <xf numFmtId="0" fontId="0" fillId="0" borderId="9" xfId="0" applyBorder="1"/>
    <xf numFmtId="0" fontId="0" fillId="0" borderId="10" xfId="0" applyBorder="1"/>
    <xf numFmtId="0" fontId="0" fillId="0" borderId="11" xfId="0" applyBorder="1"/>
    <xf numFmtId="0" fontId="0" fillId="0" borderId="12" xfId="0" applyBorder="1"/>
    <xf numFmtId="0" fontId="0" fillId="5" borderId="12" xfId="0" applyFill="1" applyBorder="1"/>
    <xf numFmtId="0" fontId="0" fillId="7" borderId="0" xfId="0" applyFill="1"/>
    <xf numFmtId="0" fontId="0" fillId="6" borderId="0" xfId="0" applyFill="1" applyAlignment="1">
      <alignment horizontal="left"/>
    </xf>
    <xf numFmtId="0" fontId="0" fillId="0" borderId="3" xfId="0" pivotButton="1" applyBorder="1"/>
    <xf numFmtId="0" fontId="0" fillId="0" borderId="13" xfId="0" applyBorder="1"/>
    <xf numFmtId="0" fontId="0" fillId="0" borderId="14" xfId="0" applyBorder="1"/>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3" xfId="0" applyBorder="1" applyAlignment="1">
      <alignment horizontal="left"/>
    </xf>
    <xf numFmtId="0" fontId="0" fillId="0" borderId="3" xfId="0" applyBorder="1"/>
    <xf numFmtId="9" fontId="0" fillId="8" borderId="0" xfId="1" applyFont="1" applyFill="1" applyBorder="1"/>
    <xf numFmtId="0" fontId="0" fillId="0" borderId="8" xfId="0" applyBorder="1" applyAlignment="1">
      <alignment horizontal="left"/>
    </xf>
    <xf numFmtId="0" fontId="0" fillId="0" borderId="13" xfId="0" pivotButton="1" applyBorder="1"/>
    <xf numFmtId="0" fontId="0" fillId="0" borderId="0" xfId="0" applyAlignment="1">
      <alignment horizontal="left" indent="1"/>
    </xf>
    <xf numFmtId="0" fontId="0" fillId="0" borderId="0" xfId="0" applyNumberFormat="1"/>
    <xf numFmtId="0" fontId="0" fillId="0" borderId="0" xfId="0" applyNumberFormat="1" applyBorder="1"/>
    <xf numFmtId="0" fontId="0" fillId="0" borderId="8" xfId="0" applyNumberFormat="1" applyBorder="1"/>
    <xf numFmtId="0" fontId="0" fillId="0" borderId="10" xfId="0" applyNumberFormat="1" applyBorder="1"/>
    <xf numFmtId="0" fontId="0" fillId="0" borderId="1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9" xfId="0" applyNumberFormat="1" applyBorder="1"/>
    <xf numFmtId="0" fontId="0" fillId="0" borderId="15" xfId="0" applyNumberFormat="1" applyBorder="1"/>
    <xf numFmtId="0" fontId="0" fillId="0" borderId="16" xfId="0" applyNumberFormat="1" applyBorder="1"/>
    <xf numFmtId="0" fontId="0" fillId="0" borderId="17" xfId="0" applyNumberFormat="1" applyBorder="1"/>
  </cellXfs>
  <cellStyles count="2">
    <cellStyle name="Normal" xfId="0" builtinId="0"/>
    <cellStyle name="Per cent" xfId="1" builtinId="5"/>
  </cellStyles>
  <dxfs count="198">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7" tint="0.79998168889431442"/>
        </patternFill>
      </fill>
    </dxf>
    <dxf>
      <fill>
        <patternFill>
          <bgColor rgb="FFFFFF00"/>
        </patternFill>
      </fill>
    </dxf>
    <dxf>
      <numFmt numFmtId="0" formatCode="General"/>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outline="0">
        <start style="hair">
          <color auto="1"/>
        </start>
        <end style="hair">
          <color auto="1"/>
        </end>
        <top style="hair">
          <color auto="1"/>
        </top>
        <bottom style="hair">
          <color auto="1"/>
        </bottom>
      </border>
    </dxf>
    <dxf>
      <font>
        <b val="0"/>
        <i val="0"/>
        <strike val="0"/>
        <condense val="0"/>
        <extend val="0"/>
        <outline val="0"/>
        <shadow val="0"/>
        <u val="none"/>
        <vertAlign val="baseline"/>
        <sz val="10"/>
        <color theme="1"/>
        <name val="Aptos Narrow"/>
        <family val="2"/>
        <scheme val="minor"/>
      </font>
      <border diagonalUp="0" diagonalDown="0" outline="0">
        <start style="hair">
          <color auto="1"/>
        </start>
        <end style="hair">
          <color auto="1"/>
        </end>
        <top style="hair">
          <color auto="1"/>
        </top>
        <bottom style="hair">
          <color auto="1"/>
        </bottom>
      </border>
    </dxf>
    <dxf>
      <font>
        <b val="0"/>
        <i val="0"/>
        <strike val="0"/>
        <condense val="0"/>
        <extend val="0"/>
        <outline val="0"/>
        <shadow val="0"/>
        <u val="none"/>
        <vertAlign val="baseline"/>
        <sz val="10"/>
        <color theme="1"/>
        <name val="Aptos Narrow"/>
        <family val="2"/>
        <scheme val="minor"/>
      </font>
      <numFmt numFmtId="0" formatCode="General"/>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alignment horizontal="left" vertical="center"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alignment horizontal="right" vertical="center"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fill>
        <patternFill patternType="none">
          <fgColor indexed="64"/>
          <bgColor indexed="65"/>
        </patternFill>
      </fill>
      <alignment horizontal="right" vertical="center"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border diagonalUp="0" diagonalDown="0">
        <start style="hair">
          <color auto="1"/>
        </start>
        <end style="hair">
          <color auto="1"/>
        </end>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numFmt numFmtId="164" formatCode="[$-409]d\-mmm\-yy;@"/>
      <fill>
        <patternFill patternType="solid">
          <fgColor indexed="64"/>
          <bgColor theme="9" tint="0.59999389629810485"/>
        </patternFill>
      </fill>
      <alignment horizontal="right" vertical="center" textRotation="0" wrapText="0" indent="0" justifyLastLine="0" shrinkToFit="0" readingOrder="0"/>
      <border diagonalUp="0" diagonalDown="0">
        <start style="hair">
          <color auto="1"/>
        </start>
        <end style="hair">
          <color auto="1"/>
        </end>
        <top style="hair">
          <color auto="1"/>
        </top>
        <bottom style="hair">
          <color auto="1"/>
        </bottom>
        <vertical/>
        <horizontal/>
      </border>
    </dxf>
    <dxf>
      <border>
        <top style="hair">
          <color auto="1"/>
        </top>
      </border>
    </dxf>
    <dxf>
      <border diagonalUp="0" diagonalDown="0">
        <start style="hair">
          <color auto="1"/>
        </start>
        <end style="hair">
          <color auto="1"/>
        </end>
        <top style="hair">
          <color auto="1"/>
        </top>
        <bottom style="hair">
          <color auto="1"/>
        </bottom>
      </border>
    </dxf>
    <dxf>
      <border>
        <bottom style="hair">
          <color auto="1"/>
        </bottom>
      </border>
    </dxf>
    <dxf>
      <font>
        <b/>
        <strike val="0"/>
        <outline val="0"/>
        <shadow val="0"/>
        <u val="none"/>
        <vertAlign val="baseline"/>
        <sz val="10"/>
        <name val="Aptos Narrow"/>
        <family val="2"/>
        <scheme val="minor"/>
      </font>
      <fill>
        <patternFill patternType="solid">
          <fgColor indexed="64"/>
          <bgColor theme="4" tint="0.79998168889431442"/>
        </patternFill>
      </fill>
      <alignment vertical="center" textRotation="0" wrapText="1" justifyLastLine="0" shrinkToFit="0" readingOrder="0"/>
      <border diagonalUp="0" diagonalDown="0" outline="0">
        <start style="hair">
          <color auto="1"/>
        </start>
        <end style="hair">
          <color auto="1"/>
        </end>
        <top/>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numFmt numFmtId="0" formatCode="General"/>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
      <border>
        <start style="medium">
          <color indexed="64"/>
        </start>
        <end style="medium">
          <color indexed="64"/>
        </end>
        <top style="medium">
          <color indexed="64"/>
        </top>
        <bottom style="medium">
          <color indexed="64"/>
        </bottom>
      </border>
    </dxf>
  </dxfs>
  <tableStyles count="0" defaultTableStyle="TableStyleMedium2" defaultPivotStyle="PivotStyleLight16"/>
  <colors>
    <mruColors>
      <color rgb="FFFF7D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purl.oclc.org/ooxml/officeDocument/relationships/calcChain" Target="calcChain.xml"/><Relationship Id="rId3" Type="http://purl.oclc.org/ooxml/officeDocument/relationships/worksheet" Target="worksheets/sheet3.xml"/><Relationship Id="rId7" Type="http://schemas.microsoft.com/office/2007/relationships/slicerCache" Target="slicerCaches/slicerCache2.xml"/><Relationship Id="rId12"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1.xml"/><Relationship Id="rId11" Type="http://purl.oclc.org/ooxml/officeDocument/relationships/styles" Target="styles.xml"/><Relationship Id="rId5" Type="http://purl.oclc.org/ooxml/officeDocument/relationships/pivotCacheDefinition" Target="pivotCache/pivotCacheDefinition1.xml"/><Relationship Id="rId10" Type="http://purl.oclc.org/ooxml/officeDocument/relationships/theme" Target="theme/theme1.xml"/><Relationship Id="rId4" Type="http://purl.oclc.org/ooxml/officeDocument/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Sheet2!$B$21</c:f>
              <c:strCache>
                <c:ptCount val="1"/>
                <c:pt idx="0">
                  <c:v>ATTRITION</c:v>
                </c:pt>
              </c:strCache>
            </c:strRef>
          </c:tx>
          <c:spPr>
            <a:solidFill>
              <a:schemeClr val="accent1"/>
            </a:solidFill>
            <a:ln>
              <a:noFill/>
            </a:ln>
            <a:effectLst/>
          </c:spPr>
          <c:invertIfNegative val="0"/>
          <c:cat>
            <c:strRef>
              <c:f>Sheet2!$A$22:$A$27</c:f>
              <c:strCache>
                <c:ptCount val="6"/>
                <c:pt idx="0">
                  <c:v>2020</c:v>
                </c:pt>
                <c:pt idx="1">
                  <c:v>2021</c:v>
                </c:pt>
                <c:pt idx="2">
                  <c:v>2022</c:v>
                </c:pt>
                <c:pt idx="3">
                  <c:v>2023</c:v>
                </c:pt>
                <c:pt idx="4">
                  <c:v>2025</c:v>
                </c:pt>
                <c:pt idx="5">
                  <c:v>Grand Total</c:v>
                </c:pt>
              </c:strCache>
            </c:strRef>
          </c:cat>
          <c:val>
            <c:numRef>
              <c:f>Sheet2!$B$22:$B$27</c:f>
              <c:numCache>
                <c:formatCode>General</c:formatCode>
                <c:ptCount val="6"/>
                <c:pt idx="0">
                  <c:v>5</c:v>
                </c:pt>
                <c:pt idx="1">
                  <c:v>3</c:v>
                </c:pt>
                <c:pt idx="2">
                  <c:v>1</c:v>
                </c:pt>
                <c:pt idx="3">
                  <c:v>0</c:v>
                </c:pt>
                <c:pt idx="4">
                  <c:v>0</c:v>
                </c:pt>
                <c:pt idx="5">
                  <c:v>0</c:v>
                </c:pt>
              </c:numCache>
            </c:numRef>
          </c:val>
          <c:extLst>
            <c:ext xmlns:c16="http://schemas.microsoft.com/office/drawing/2014/chart" uri="{C3380CC4-5D6E-409C-BE32-E72D297353CC}">
              <c16:uniqueId val="{00000000-3D09-F84F-B63B-994437717403}"/>
            </c:ext>
          </c:extLst>
        </c:ser>
        <c:ser>
          <c:idx val="1"/>
          <c:order val="1"/>
          <c:tx>
            <c:strRef>
              <c:f>Sheet2!$C$21</c:f>
              <c:strCache>
                <c:ptCount val="1"/>
                <c:pt idx="0">
                  <c:v>ON-B</c:v>
                </c:pt>
              </c:strCache>
            </c:strRef>
          </c:tx>
          <c:spPr>
            <a:solidFill>
              <a:schemeClr val="accent2"/>
            </a:solidFill>
            <a:ln>
              <a:noFill/>
            </a:ln>
            <a:effectLst/>
          </c:spPr>
          <c:invertIfNegative val="0"/>
          <c:cat>
            <c:strRef>
              <c:f>Sheet2!$A$22:$A$27</c:f>
              <c:strCache>
                <c:ptCount val="6"/>
                <c:pt idx="0">
                  <c:v>2020</c:v>
                </c:pt>
                <c:pt idx="1">
                  <c:v>2021</c:v>
                </c:pt>
                <c:pt idx="2">
                  <c:v>2022</c:v>
                </c:pt>
                <c:pt idx="3">
                  <c:v>2023</c:v>
                </c:pt>
                <c:pt idx="4">
                  <c:v>2025</c:v>
                </c:pt>
                <c:pt idx="5">
                  <c:v>Grand Total</c:v>
                </c:pt>
              </c:strCache>
            </c:strRef>
          </c:cat>
          <c:val>
            <c:numRef>
              <c:f>Sheet2!$C$22:$C$27</c:f>
              <c:numCache>
                <c:formatCode>General</c:formatCode>
                <c:ptCount val="6"/>
                <c:pt idx="0">
                  <c:v>6</c:v>
                </c:pt>
                <c:pt idx="1">
                  <c:v>0</c:v>
                </c:pt>
                <c:pt idx="2">
                  <c:v>0</c:v>
                </c:pt>
                <c:pt idx="3">
                  <c:v>1</c:v>
                </c:pt>
                <c:pt idx="4">
                  <c:v>0</c:v>
                </c:pt>
                <c:pt idx="5">
                  <c:v>2</c:v>
                </c:pt>
              </c:numCache>
            </c:numRef>
          </c:val>
          <c:extLst>
            <c:ext xmlns:c16="http://schemas.microsoft.com/office/drawing/2014/chart" uri="{C3380CC4-5D6E-409C-BE32-E72D297353CC}">
              <c16:uniqueId val="{00000001-3D09-F84F-B63B-994437717403}"/>
            </c:ext>
          </c:extLst>
        </c:ser>
        <c:dLbls>
          <c:showLegendKey val="0"/>
          <c:showVal val="0"/>
          <c:showCatName val="0"/>
          <c:showSerName val="0"/>
          <c:showPercent val="0"/>
          <c:showBubbleSize val="0"/>
        </c:dLbls>
        <c:gapWidth val="150"/>
        <c:axId val="57690751"/>
        <c:axId val="57700159"/>
      </c:barChart>
      <c:lineChart>
        <c:grouping val="standard"/>
        <c:varyColors val="0"/>
        <c:ser>
          <c:idx val="2"/>
          <c:order val="2"/>
          <c:tx>
            <c:strRef>
              <c:f>Sheet2!$D$21</c:f>
              <c:strCache>
                <c:ptCount val="1"/>
                <c:pt idx="0">
                  <c:v>TRANSFER</c:v>
                </c:pt>
              </c:strCache>
            </c:strRef>
          </c:tx>
          <c:spPr>
            <a:ln w="28575" cap="rnd">
              <a:solidFill>
                <a:schemeClr val="accent3"/>
              </a:solidFill>
              <a:round/>
            </a:ln>
            <a:effectLst/>
          </c:spPr>
          <c:marker>
            <c:symbol val="none"/>
          </c:marker>
          <c:cat>
            <c:strRef>
              <c:f>Sheet2!$A$22:$A$27</c:f>
              <c:strCache>
                <c:ptCount val="6"/>
                <c:pt idx="0">
                  <c:v>2020</c:v>
                </c:pt>
                <c:pt idx="1">
                  <c:v>2021</c:v>
                </c:pt>
                <c:pt idx="2">
                  <c:v>2022</c:v>
                </c:pt>
                <c:pt idx="3">
                  <c:v>2023</c:v>
                </c:pt>
                <c:pt idx="4">
                  <c:v>2025</c:v>
                </c:pt>
                <c:pt idx="5">
                  <c:v>Grand Total</c:v>
                </c:pt>
              </c:strCache>
            </c:strRef>
          </c:cat>
          <c:val>
            <c:numRef>
              <c:f>Sheet2!$D$22:$D$27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3D09-F84F-B63B-994437717403}"/>
            </c:ext>
          </c:extLst>
        </c:ser>
        <c:ser>
          <c:idx val="3"/>
          <c:order val="3"/>
          <c:tx>
            <c:strRef>
              <c:f>Sheet2!$E$21</c:f>
              <c:strCache>
                <c:ptCount val="1"/>
                <c:pt idx="0">
                  <c:v>HC GROWTH</c:v>
                </c:pt>
              </c:strCache>
            </c:strRef>
          </c:tx>
          <c:spPr>
            <a:ln w="28575" cap="rnd">
              <a:solidFill>
                <a:schemeClr val="accent4"/>
              </a:solidFill>
              <a:round/>
            </a:ln>
            <a:effectLst/>
          </c:spPr>
          <c:marker>
            <c:symbol val="none"/>
          </c:marker>
          <c:cat>
            <c:strRef>
              <c:f>Sheet2!$A$22:$A$27</c:f>
              <c:strCache>
                <c:ptCount val="6"/>
                <c:pt idx="0">
                  <c:v>2020</c:v>
                </c:pt>
                <c:pt idx="1">
                  <c:v>2021</c:v>
                </c:pt>
                <c:pt idx="2">
                  <c:v>2022</c:v>
                </c:pt>
                <c:pt idx="3">
                  <c:v>2023</c:v>
                </c:pt>
                <c:pt idx="4">
                  <c:v>2025</c:v>
                </c:pt>
                <c:pt idx="5">
                  <c:v>Grand Total</c:v>
                </c:pt>
              </c:strCache>
            </c:strRef>
          </c:cat>
          <c:val>
            <c:numRef>
              <c:f>Sheet2!$E$22:$E$27</c:f>
              <c:numCache>
                <c:formatCode>General</c:formatCode>
                <c:ptCount val="6"/>
                <c:pt idx="0">
                  <c:v>6</c:v>
                </c:pt>
                <c:pt idx="1">
                  <c:v>6</c:v>
                </c:pt>
                <c:pt idx="2">
                  <c:v>6</c:v>
                </c:pt>
                <c:pt idx="3">
                  <c:v>7</c:v>
                </c:pt>
                <c:pt idx="4">
                  <c:v>0</c:v>
                </c:pt>
                <c:pt idx="5">
                  <c:v>0</c:v>
                </c:pt>
              </c:numCache>
            </c:numRef>
          </c:val>
          <c:smooth val="0"/>
          <c:extLst>
            <c:ext xmlns:c16="http://schemas.microsoft.com/office/drawing/2014/chart" uri="{C3380CC4-5D6E-409C-BE32-E72D297353CC}">
              <c16:uniqueId val="{00000003-3D09-F84F-B63B-994437717403}"/>
            </c:ext>
          </c:extLst>
        </c:ser>
        <c:dLbls>
          <c:showLegendKey val="0"/>
          <c:showVal val="0"/>
          <c:showCatName val="0"/>
          <c:showSerName val="0"/>
          <c:showPercent val="0"/>
          <c:showBubbleSize val="0"/>
        </c:dLbls>
        <c:marker val="1"/>
        <c:smooth val="0"/>
        <c:axId val="75414399"/>
        <c:axId val="75402303"/>
      </c:lineChart>
      <c:catAx>
        <c:axId val="5769075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7700159"/>
        <c:crosses val="autoZero"/>
        <c:auto val="1"/>
        <c:lblAlgn val="ctr"/>
        <c:lblOffset val="100"/>
        <c:noMultiLvlLbl val="0"/>
      </c:catAx>
      <c:valAx>
        <c:axId val="57700159"/>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7690751"/>
        <c:crosses val="autoZero"/>
        <c:crossBetween val="between"/>
      </c:valAx>
      <c:valAx>
        <c:axId val="75402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5414399"/>
        <c:crosses val="max"/>
        <c:crossBetween val="between"/>
      </c:valAx>
      <c:catAx>
        <c:axId val="75414399"/>
        <c:scaling>
          <c:orientation val="minMax"/>
        </c:scaling>
        <c:delete val="1"/>
        <c:axPos val="b"/>
        <c:numFmt formatCode="General" sourceLinked="1"/>
        <c:majorTickMark val="out"/>
        <c:minorTickMark val="none"/>
        <c:tickLblPos val="nextTo"/>
        <c:crossAx val="754023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Sheet2!$K$3</c:f>
              <c:strCache>
                <c:ptCount val="1"/>
                <c:pt idx="0">
                  <c:v>HC</c:v>
                </c:pt>
              </c:strCache>
            </c:strRef>
          </c:tx>
          <c:spPr>
            <a:solidFill>
              <a:srgbClr val="00B0F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866A-814F-BC71-9181FADDFAF3}"/>
              </c:ext>
            </c:extLst>
          </c:dPt>
          <c:dPt>
            <c:idx val="1"/>
            <c:bubble3D val="0"/>
            <c:spPr>
              <a:solidFill>
                <a:srgbClr val="FF7D8F"/>
              </a:solidFill>
              <a:ln w="19050">
                <a:solidFill>
                  <a:schemeClr val="lt1"/>
                </a:solidFill>
              </a:ln>
              <a:effectLst/>
            </c:spPr>
            <c:extLst>
              <c:ext xmlns:c16="http://schemas.microsoft.com/office/drawing/2014/chart" uri="{C3380CC4-5D6E-409C-BE32-E72D297353CC}">
                <c16:uniqueId val="{00000001-BCF6-5C42-B6AB-89640A85CF61}"/>
              </c:ext>
            </c:extLst>
          </c:dPt>
          <c:cat>
            <c:strRef>
              <c:f>Sheet2!$J$4:$J$5</c:f>
              <c:strCache>
                <c:ptCount val="2"/>
                <c:pt idx="0">
                  <c:v>Female</c:v>
                </c:pt>
                <c:pt idx="1">
                  <c:v>Male</c:v>
                </c:pt>
              </c:strCache>
            </c:strRef>
          </c:cat>
          <c:val>
            <c:numRef>
              <c:f>Sheet2!$K$4:$K$5</c:f>
              <c:numCache>
                <c:formatCode>General</c:formatCode>
                <c:ptCount val="2"/>
                <c:pt idx="0">
                  <c:v>3</c:v>
                </c:pt>
                <c:pt idx="1">
                  <c:v>6</c:v>
                </c:pt>
              </c:numCache>
            </c:numRef>
          </c:val>
          <c:extLst>
            <c:ext xmlns:c16="http://schemas.microsoft.com/office/drawing/2014/chart" uri="{C3380CC4-5D6E-409C-BE32-E72D297353CC}">
              <c16:uniqueId val="{00000000-BCF6-5C42-B6AB-89640A85CF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doughnutChart>
        <c:varyColors val="1"/>
        <c:ser>
          <c:idx val="0"/>
          <c:order val="0"/>
          <c:tx>
            <c:strRef>
              <c:f>Sheet2!$S$4</c:f>
              <c:strCache>
                <c:ptCount val="1"/>
                <c:pt idx="0">
                  <c:v>HC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DF-D74A-B438-4FA3F1BC3C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F-D74A-B438-4FA3F1BC3C46}"/>
              </c:ext>
            </c:extLst>
          </c:dPt>
          <c:dPt>
            <c:idx val="2"/>
            <c:bubble3D val="0"/>
            <c:spPr>
              <a:solidFill>
                <a:schemeClr val="bg1">
                  <a:lumMod val="75%"/>
                </a:schemeClr>
              </a:solidFill>
              <a:ln w="19050">
                <a:solidFill>
                  <a:schemeClr val="lt1"/>
                </a:solidFill>
              </a:ln>
              <a:effectLst/>
            </c:spPr>
            <c:extLst>
              <c:ext xmlns:c16="http://schemas.microsoft.com/office/drawing/2014/chart" uri="{C3380CC4-5D6E-409C-BE32-E72D297353CC}">
                <c16:uniqueId val="{00000001-18C9-7A4F-A5BF-4F9E306842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DF-D74A-B438-4FA3F1BC3C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DF-D74A-B438-4FA3F1BC3C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DF-D74A-B438-4FA3F1BC3C46}"/>
              </c:ext>
            </c:extLst>
          </c:dPt>
          <c:dPt>
            <c:idx val="6"/>
            <c:bubble3D val="0"/>
            <c:spPr>
              <a:solidFill>
                <a:schemeClr val="accent1">
                  <a:lumMod val="60%"/>
                </a:schemeClr>
              </a:solidFill>
              <a:ln w="19050">
                <a:solidFill>
                  <a:schemeClr val="lt1"/>
                </a:solidFill>
              </a:ln>
              <a:effectLst/>
            </c:spPr>
            <c:extLst>
              <c:ext xmlns:c16="http://schemas.microsoft.com/office/drawing/2014/chart" uri="{C3380CC4-5D6E-409C-BE32-E72D297353CC}">
                <c16:uniqueId val="{0000000D-1DDF-D74A-B438-4FA3F1BC3C46}"/>
              </c:ext>
            </c:extLst>
          </c:dPt>
          <c:cat>
            <c:strRef>
              <c:f>Sheet2!$R$5:$R$11</c:f>
              <c:strCache>
                <c:ptCount val="7"/>
                <c:pt idx="0">
                  <c:v>Accounting</c:v>
                </c:pt>
                <c:pt idx="1">
                  <c:v>Finance</c:v>
                </c:pt>
                <c:pt idx="2">
                  <c:v>HR</c:v>
                </c:pt>
                <c:pt idx="3">
                  <c:v>Legal</c:v>
                </c:pt>
                <c:pt idx="4">
                  <c:v>Marketing</c:v>
                </c:pt>
                <c:pt idx="5">
                  <c:v>Operations</c:v>
                </c:pt>
                <c:pt idx="6">
                  <c:v>Sales</c:v>
                </c:pt>
              </c:strCache>
            </c:strRef>
          </c:cat>
          <c:val>
            <c:numRef>
              <c:f>Sheet2!$S$5:$S$11</c:f>
              <c:numCache>
                <c:formatCode>General</c:formatCode>
                <c:ptCount val="7"/>
                <c:pt idx="0">
                  <c:v>9</c:v>
                </c:pt>
                <c:pt idx="1">
                  <c:v>0</c:v>
                </c:pt>
                <c:pt idx="2">
                  <c:v>0</c:v>
                </c:pt>
                <c:pt idx="3">
                  <c:v>0</c:v>
                </c:pt>
                <c:pt idx="4">
                  <c:v>0</c:v>
                </c:pt>
                <c:pt idx="5">
                  <c:v>0</c:v>
                </c:pt>
                <c:pt idx="6">
                  <c:v>0</c:v>
                </c:pt>
              </c:numCache>
            </c:numRef>
          </c:val>
          <c:extLst>
            <c:ext xmlns:c16="http://schemas.microsoft.com/office/drawing/2014/chart" uri="{C3380CC4-5D6E-409C-BE32-E72D297353CC}">
              <c16:uniqueId val="{00000000-18C9-7A4F-A5BF-4F9E3068428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stacked"/>
        <c:varyColors val="0"/>
        <c:ser>
          <c:idx val="0"/>
          <c:order val="0"/>
          <c:tx>
            <c:strRef>
              <c:f>Sheet2!$S$32</c:f>
              <c:strCache>
                <c:ptCount val="1"/>
                <c:pt idx="0">
                  <c:v>HC REPORTING</c:v>
                </c:pt>
              </c:strCache>
            </c:strRef>
          </c:tx>
          <c:spPr>
            <a:solidFill>
              <a:schemeClr val="accent1"/>
            </a:solidFill>
            <a:ln>
              <a:noFill/>
            </a:ln>
            <a:effectLst/>
          </c:spPr>
          <c:invertIfNegative val="0"/>
          <c:cat>
            <c:strRef>
              <c:f>Sheet2!$R$33:$R$34</c:f>
              <c:strCache>
                <c:ptCount val="2"/>
                <c:pt idx="0">
                  <c:v>Contract</c:v>
                </c:pt>
                <c:pt idx="1">
                  <c:v>Permanent</c:v>
                </c:pt>
              </c:strCache>
            </c:strRef>
          </c:cat>
          <c:val>
            <c:numRef>
              <c:f>Sheet2!$S$33:$S$34</c:f>
              <c:numCache>
                <c:formatCode>General</c:formatCode>
                <c:ptCount val="2"/>
                <c:pt idx="0">
                  <c:v>0</c:v>
                </c:pt>
                <c:pt idx="1">
                  <c:v>9</c:v>
                </c:pt>
              </c:numCache>
            </c:numRef>
          </c:val>
          <c:extLst>
            <c:ext xmlns:c16="http://schemas.microsoft.com/office/drawing/2014/chart" uri="{C3380CC4-5D6E-409C-BE32-E72D297353CC}">
              <c16:uniqueId val="{00000000-02BA-F140-B80F-2589D82ED15F}"/>
            </c:ext>
          </c:extLst>
        </c:ser>
        <c:dLbls>
          <c:showLegendKey val="0"/>
          <c:showVal val="0"/>
          <c:showCatName val="0"/>
          <c:showSerName val="0"/>
          <c:showPercent val="0"/>
          <c:showBubbleSize val="0"/>
        </c:dLbls>
        <c:gapWidth val="219"/>
        <c:overlap val="100"/>
        <c:axId val="244291263"/>
        <c:axId val="244290815"/>
      </c:barChart>
      <c:catAx>
        <c:axId val="244291263"/>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44290815"/>
        <c:crosses val="autoZero"/>
        <c:auto val="1"/>
        <c:lblAlgn val="ctr"/>
        <c:lblOffset val="100"/>
        <c:noMultiLvlLbl val="0"/>
      </c:catAx>
      <c:valAx>
        <c:axId val="244290815"/>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44291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Sheet2!$S$40</c:f>
              <c:strCache>
                <c:ptCount val="1"/>
                <c:pt idx="0">
                  <c:v>HC</c:v>
                </c:pt>
              </c:strCache>
            </c:strRef>
          </c:tx>
          <c:spPr>
            <a:solidFill>
              <a:schemeClr val="accent1"/>
            </a:solidFill>
            <a:ln>
              <a:noFill/>
            </a:ln>
            <a:effectLst/>
          </c:spPr>
          <c:invertIfNegative val="0"/>
          <c:cat>
            <c:strRef>
              <c:f>Sheet2!$R$41:$R$46</c:f>
              <c:strCache>
                <c:ptCount val="6"/>
                <c:pt idx="0">
                  <c:v>5+ years</c:v>
                </c:pt>
                <c:pt idx="1">
                  <c:v>4+ years</c:v>
                </c:pt>
                <c:pt idx="2">
                  <c:v>3+ years</c:v>
                </c:pt>
                <c:pt idx="3">
                  <c:v>2+ years</c:v>
                </c:pt>
                <c:pt idx="4">
                  <c:v>1+ years</c:v>
                </c:pt>
                <c:pt idx="5">
                  <c:v>&lt;1 year</c:v>
                </c:pt>
              </c:strCache>
            </c:strRef>
          </c:cat>
          <c:val>
            <c:numRef>
              <c:f>Sheet2!$S$41:$S$46</c:f>
              <c:numCache>
                <c:formatCode>General</c:formatCode>
                <c:ptCount val="6"/>
                <c:pt idx="0">
                  <c:v>6</c:v>
                </c:pt>
                <c:pt idx="1">
                  <c:v>0</c:v>
                </c:pt>
                <c:pt idx="2">
                  <c:v>0</c:v>
                </c:pt>
                <c:pt idx="3">
                  <c:v>1</c:v>
                </c:pt>
                <c:pt idx="4">
                  <c:v>2</c:v>
                </c:pt>
                <c:pt idx="5">
                  <c:v>0</c:v>
                </c:pt>
              </c:numCache>
            </c:numRef>
          </c:val>
          <c:extLst>
            <c:ext xmlns:c16="http://schemas.microsoft.com/office/drawing/2014/chart" uri="{C3380CC4-5D6E-409C-BE32-E72D297353CC}">
              <c16:uniqueId val="{00000000-A821-9941-AE3E-FD66C95AFB77}"/>
            </c:ext>
          </c:extLst>
        </c:ser>
        <c:dLbls>
          <c:showLegendKey val="0"/>
          <c:showVal val="0"/>
          <c:showCatName val="0"/>
          <c:showSerName val="0"/>
          <c:showPercent val="0"/>
          <c:showBubbleSize val="0"/>
        </c:dLbls>
        <c:gapWidth val="182"/>
        <c:axId val="243806015"/>
        <c:axId val="56839231"/>
      </c:barChart>
      <c:catAx>
        <c:axId val="243806015"/>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6839231"/>
        <c:crosses val="autoZero"/>
        <c:auto val="1"/>
        <c:lblAlgn val="ctr"/>
        <c:lblOffset val="100"/>
        <c:noMultiLvlLbl val="0"/>
      </c:catAx>
      <c:valAx>
        <c:axId val="56839231"/>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438060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Sheet2!$B$21</c:f>
              <c:strCache>
                <c:ptCount val="1"/>
                <c:pt idx="0">
                  <c:v>ATTRITION</c:v>
                </c:pt>
              </c:strCache>
            </c:strRef>
          </c:tx>
          <c:spPr>
            <a:solidFill>
              <a:srgbClr val="FF7D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Sheet2!$A$22:$A$27</c:f>
              <c:strCache>
                <c:ptCount val="6"/>
                <c:pt idx="0">
                  <c:v>2020</c:v>
                </c:pt>
                <c:pt idx="1">
                  <c:v>2021</c:v>
                </c:pt>
                <c:pt idx="2">
                  <c:v>2022</c:v>
                </c:pt>
                <c:pt idx="3">
                  <c:v>2023</c:v>
                </c:pt>
                <c:pt idx="4">
                  <c:v>2025</c:v>
                </c:pt>
                <c:pt idx="5">
                  <c:v>Grand Total</c:v>
                </c:pt>
              </c:strCache>
            </c:strRef>
          </c:cat>
          <c:val>
            <c:numRef>
              <c:f>Sheet2!$B$22:$B$27</c:f>
              <c:numCache>
                <c:formatCode>General</c:formatCode>
                <c:ptCount val="6"/>
                <c:pt idx="0">
                  <c:v>5</c:v>
                </c:pt>
                <c:pt idx="1">
                  <c:v>3</c:v>
                </c:pt>
                <c:pt idx="2">
                  <c:v>1</c:v>
                </c:pt>
                <c:pt idx="3">
                  <c:v>0</c:v>
                </c:pt>
                <c:pt idx="4">
                  <c:v>0</c:v>
                </c:pt>
                <c:pt idx="5">
                  <c:v>0</c:v>
                </c:pt>
              </c:numCache>
            </c:numRef>
          </c:val>
          <c:extLst>
            <c:ext xmlns:c16="http://schemas.microsoft.com/office/drawing/2014/chart" uri="{C3380CC4-5D6E-409C-BE32-E72D297353CC}">
              <c16:uniqueId val="{00000000-4DCE-0A4B-88FD-EEA8759E1731}"/>
            </c:ext>
          </c:extLst>
        </c:ser>
        <c:ser>
          <c:idx val="1"/>
          <c:order val="1"/>
          <c:tx>
            <c:strRef>
              <c:f>Sheet2!$C$21</c:f>
              <c:strCache>
                <c:ptCount val="1"/>
                <c:pt idx="0">
                  <c:v>ON-B</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Sheet2!$A$22:$A$27</c:f>
              <c:strCache>
                <c:ptCount val="6"/>
                <c:pt idx="0">
                  <c:v>2020</c:v>
                </c:pt>
                <c:pt idx="1">
                  <c:v>2021</c:v>
                </c:pt>
                <c:pt idx="2">
                  <c:v>2022</c:v>
                </c:pt>
                <c:pt idx="3">
                  <c:v>2023</c:v>
                </c:pt>
                <c:pt idx="4">
                  <c:v>2025</c:v>
                </c:pt>
                <c:pt idx="5">
                  <c:v>Grand Total</c:v>
                </c:pt>
              </c:strCache>
            </c:strRef>
          </c:cat>
          <c:val>
            <c:numRef>
              <c:f>Sheet2!$C$22:$C$27</c:f>
              <c:numCache>
                <c:formatCode>General</c:formatCode>
                <c:ptCount val="6"/>
                <c:pt idx="0">
                  <c:v>6</c:v>
                </c:pt>
                <c:pt idx="1">
                  <c:v>0</c:v>
                </c:pt>
                <c:pt idx="2">
                  <c:v>0</c:v>
                </c:pt>
                <c:pt idx="3">
                  <c:v>1</c:v>
                </c:pt>
                <c:pt idx="4">
                  <c:v>0</c:v>
                </c:pt>
                <c:pt idx="5">
                  <c:v>2</c:v>
                </c:pt>
              </c:numCache>
            </c:numRef>
          </c:val>
          <c:extLst>
            <c:ext xmlns:c16="http://schemas.microsoft.com/office/drawing/2014/chart" uri="{C3380CC4-5D6E-409C-BE32-E72D297353CC}">
              <c16:uniqueId val="{00000001-4DCE-0A4B-88FD-EEA8759E1731}"/>
            </c:ext>
          </c:extLst>
        </c:ser>
        <c:dLbls>
          <c:dLblPos val="inEnd"/>
          <c:showLegendKey val="0"/>
          <c:showVal val="1"/>
          <c:showCatName val="0"/>
          <c:showSerName val="0"/>
          <c:showPercent val="0"/>
          <c:showBubbleSize val="0"/>
        </c:dLbls>
        <c:gapWidth val="150"/>
        <c:axId val="57690751"/>
        <c:axId val="57700159"/>
      </c:barChart>
      <c:lineChart>
        <c:grouping val="standard"/>
        <c:varyColors val="0"/>
        <c:ser>
          <c:idx val="2"/>
          <c:order val="2"/>
          <c:tx>
            <c:strRef>
              <c:f>Sheet2!$D$21</c:f>
              <c:strCache>
                <c:ptCount val="1"/>
                <c:pt idx="0">
                  <c:v>TRANSFER</c:v>
                </c:pt>
              </c:strCache>
            </c:strRef>
          </c:tx>
          <c:spPr>
            <a:ln w="28575" cap="rnd">
              <a:solidFill>
                <a:schemeClr val="accent5">
                  <a:lumMod val="60%"/>
                  <a:lumOff val="4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Sheet2!$A$22:$A$27</c:f>
              <c:strCache>
                <c:ptCount val="6"/>
                <c:pt idx="0">
                  <c:v>2020</c:v>
                </c:pt>
                <c:pt idx="1">
                  <c:v>2021</c:v>
                </c:pt>
                <c:pt idx="2">
                  <c:v>2022</c:v>
                </c:pt>
                <c:pt idx="3">
                  <c:v>2023</c:v>
                </c:pt>
                <c:pt idx="4">
                  <c:v>2025</c:v>
                </c:pt>
                <c:pt idx="5">
                  <c:v>Grand Total</c:v>
                </c:pt>
              </c:strCache>
            </c:strRef>
          </c:cat>
          <c:val>
            <c:numRef>
              <c:f>Sheet2!$D$22:$D$27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4DCE-0A4B-88FD-EEA8759E1731}"/>
            </c:ext>
          </c:extLst>
        </c:ser>
        <c:ser>
          <c:idx val="3"/>
          <c:order val="3"/>
          <c:tx>
            <c:strRef>
              <c:f>Sheet2!$E$21</c:f>
              <c:strCache>
                <c:ptCount val="1"/>
                <c:pt idx="0">
                  <c:v>HC GROWTH</c:v>
                </c:pt>
              </c:strCache>
            </c:strRef>
          </c:tx>
          <c:spPr>
            <a:ln w="28575" cap="rnd">
              <a:solidFill>
                <a:srgbClr val="FF0000"/>
              </a:solidFill>
              <a:round/>
            </a:ln>
            <a:effectLst/>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CE-0A4B-88FD-EEA8759E17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Sheet2!$A$22:$A$27</c:f>
              <c:strCache>
                <c:ptCount val="6"/>
                <c:pt idx="0">
                  <c:v>2020</c:v>
                </c:pt>
                <c:pt idx="1">
                  <c:v>2021</c:v>
                </c:pt>
                <c:pt idx="2">
                  <c:v>2022</c:v>
                </c:pt>
                <c:pt idx="3">
                  <c:v>2023</c:v>
                </c:pt>
                <c:pt idx="4">
                  <c:v>2025</c:v>
                </c:pt>
                <c:pt idx="5">
                  <c:v>Grand Total</c:v>
                </c:pt>
              </c:strCache>
            </c:strRef>
          </c:cat>
          <c:val>
            <c:numRef>
              <c:f>Sheet2!$E$22:$E$27</c:f>
              <c:numCache>
                <c:formatCode>General</c:formatCode>
                <c:ptCount val="6"/>
                <c:pt idx="0">
                  <c:v>6</c:v>
                </c:pt>
                <c:pt idx="1">
                  <c:v>6</c:v>
                </c:pt>
                <c:pt idx="2">
                  <c:v>6</c:v>
                </c:pt>
                <c:pt idx="3">
                  <c:v>7</c:v>
                </c:pt>
                <c:pt idx="4">
                  <c:v>0</c:v>
                </c:pt>
                <c:pt idx="5">
                  <c:v>0</c:v>
                </c:pt>
              </c:numCache>
            </c:numRef>
          </c:val>
          <c:smooth val="0"/>
          <c:extLst>
            <c:ext xmlns:c16="http://schemas.microsoft.com/office/drawing/2014/chart" uri="{C3380CC4-5D6E-409C-BE32-E72D297353CC}">
              <c16:uniqueId val="{00000004-4DCE-0A4B-88FD-EEA8759E1731}"/>
            </c:ext>
          </c:extLst>
        </c:ser>
        <c:dLbls>
          <c:showLegendKey val="0"/>
          <c:showVal val="1"/>
          <c:showCatName val="0"/>
          <c:showSerName val="0"/>
          <c:showPercent val="0"/>
          <c:showBubbleSize val="0"/>
        </c:dLbls>
        <c:marker val="1"/>
        <c:smooth val="0"/>
        <c:axId val="75414399"/>
        <c:axId val="75402303"/>
      </c:lineChart>
      <c:catAx>
        <c:axId val="576907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7700159"/>
        <c:crosses val="autoZero"/>
        <c:auto val="1"/>
        <c:lblAlgn val="ctr"/>
        <c:lblOffset val="100"/>
        <c:noMultiLvlLbl val="0"/>
      </c:catAx>
      <c:valAx>
        <c:axId val="57700159"/>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7690751"/>
        <c:crosses val="autoZero"/>
        <c:crossBetween val="between"/>
      </c:valAx>
      <c:valAx>
        <c:axId val="754023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5414399"/>
        <c:crosses val="max"/>
        <c:crossBetween val="between"/>
      </c:valAx>
      <c:catAx>
        <c:axId val="75414399"/>
        <c:scaling>
          <c:orientation val="minMax"/>
        </c:scaling>
        <c:delete val="1"/>
        <c:axPos val="b"/>
        <c:numFmt formatCode="General" sourceLinked="1"/>
        <c:majorTickMark val="out"/>
        <c:minorTickMark val="none"/>
        <c:tickLblPos val="nextTo"/>
        <c:crossAx val="754023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Sheet2!$K$3</c:f>
              <c:strCache>
                <c:ptCount val="1"/>
                <c:pt idx="0">
                  <c:v>HC</c:v>
                </c:pt>
              </c:strCache>
            </c:strRef>
          </c:tx>
          <c:spPr>
            <a:solidFill>
              <a:srgbClr val="FF7D8F"/>
            </a:solidFill>
          </c:spPr>
          <c:dPt>
            <c:idx val="0"/>
            <c:bubble3D val="0"/>
            <c:spPr>
              <a:solidFill>
                <a:srgbClr val="FF7D8F"/>
              </a:solidFill>
              <a:ln w="19050">
                <a:solidFill>
                  <a:schemeClr val="lt1"/>
                </a:solidFill>
              </a:ln>
              <a:effectLst/>
            </c:spPr>
            <c:extLst>
              <c:ext xmlns:c16="http://schemas.microsoft.com/office/drawing/2014/chart" uri="{C3380CC4-5D6E-409C-BE32-E72D297353CC}">
                <c16:uniqueId val="{00000001-16CA-4149-8DBE-EDA31C9B797C}"/>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16CA-4149-8DBE-EDA31C9B797C}"/>
              </c:ext>
            </c:extLst>
          </c:dPt>
          <c:cat>
            <c:strRef>
              <c:f>Sheet2!$J$4:$J$5</c:f>
              <c:strCache>
                <c:ptCount val="2"/>
                <c:pt idx="0">
                  <c:v>Female</c:v>
                </c:pt>
                <c:pt idx="1">
                  <c:v>Male</c:v>
                </c:pt>
              </c:strCache>
            </c:strRef>
          </c:cat>
          <c:val>
            <c:numRef>
              <c:f>Sheet2!$K$4:$K$5</c:f>
              <c:numCache>
                <c:formatCode>General</c:formatCode>
                <c:ptCount val="2"/>
                <c:pt idx="0">
                  <c:v>3</c:v>
                </c:pt>
                <c:pt idx="1">
                  <c:v>6</c:v>
                </c:pt>
              </c:numCache>
            </c:numRef>
          </c:val>
          <c:extLst>
            <c:ext xmlns:c16="http://schemas.microsoft.com/office/drawing/2014/chart" uri="{C3380CC4-5D6E-409C-BE32-E72D297353CC}">
              <c16:uniqueId val="{00000004-16CA-4149-8DBE-EDA31C9B79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Sheet2!$S$4</c:f>
              <c:strCache>
                <c:ptCount val="1"/>
                <c:pt idx="0">
                  <c:v>HC</c:v>
                </c:pt>
              </c:strCache>
            </c:strRef>
          </c:tx>
          <c:dPt>
            <c:idx val="0"/>
            <c:bubble3D val="0"/>
            <c:spPr>
              <a:solidFill>
                <a:schemeClr val="accent2">
                  <a:lumMod val="40%"/>
                  <a:lumOff val="60%"/>
                </a:schemeClr>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1-87CD-F04E-9227-2E6AD877E42D}"/>
              </c:ext>
            </c:extLst>
          </c:dPt>
          <c:dPt>
            <c:idx val="1"/>
            <c:bubble3D val="0"/>
            <c:spPr>
              <a:solidFill>
                <a:schemeClr val="accent6">
                  <a:lumMod val="60%"/>
                  <a:lumOff val="40%"/>
                </a:schemeClr>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3-87CD-F04E-9227-2E6AD877E42D}"/>
              </c:ext>
            </c:extLst>
          </c:dPt>
          <c:dPt>
            <c:idx val="2"/>
            <c:bubble3D val="0"/>
            <c:spPr>
              <a:solidFill>
                <a:schemeClr val="bg1">
                  <a:lumMod val="75%"/>
                </a:schemeClr>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5-87CD-F04E-9227-2E6AD877E42D}"/>
              </c:ext>
            </c:extLst>
          </c:dPt>
          <c:dPt>
            <c:idx val="3"/>
            <c:bubble3D val="0"/>
            <c:spPr>
              <a:solidFill>
                <a:srgbClr val="FF7D8F"/>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7-87CD-F04E-9227-2E6AD877E42D}"/>
              </c:ext>
            </c:extLst>
          </c:dPt>
          <c:dPt>
            <c:idx val="4"/>
            <c:bubble3D val="0"/>
            <c:spPr>
              <a:solidFill>
                <a:srgbClr val="FFFF00"/>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9-87CD-F04E-9227-2E6AD877E42D}"/>
              </c:ext>
            </c:extLst>
          </c:dPt>
          <c:dPt>
            <c:idx val="5"/>
            <c:bubble3D val="0"/>
            <c:spPr>
              <a:solidFill>
                <a:srgbClr val="00B0F0"/>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B-87CD-F04E-9227-2E6AD877E42D}"/>
              </c:ext>
            </c:extLst>
          </c:dPt>
          <c:dPt>
            <c:idx val="6"/>
            <c:bubble3D val="0"/>
            <c:spPr>
              <a:solidFill>
                <a:schemeClr val="accent5">
                  <a:lumMod val="60%"/>
                  <a:lumOff val="40%"/>
                </a:schemeClr>
              </a:solidFill>
              <a:ln>
                <a:noFill/>
              </a:ln>
              <a:effectLst>
                <a:outerShdw blurRad="254000" sx="102%" sy="102%" algn="ctr" rotWithShape="0">
                  <a:prstClr val="black">
                    <a:alpha val="20%"/>
                  </a:prstClr>
                </a:outerShdw>
              </a:effectLst>
            </c:spPr>
            <c:extLst>
              <c:ext xmlns:c16="http://schemas.microsoft.com/office/drawing/2014/chart" uri="{C3380CC4-5D6E-409C-BE32-E72D297353CC}">
                <c16:uniqueId val="{0000000D-87CD-F04E-9227-2E6AD877E42D}"/>
              </c:ext>
            </c:extLst>
          </c:dPt>
          <c:dLbls>
            <c:spPr>
              <a:pattFill prst="pct75">
                <a:fgClr>
                  <a:schemeClr val="dk1">
                    <a:lumMod val="75%"/>
                    <a:lumOff val="25%"/>
                  </a:schemeClr>
                </a:fgClr>
                <a:bgClr>
                  <a:schemeClr val="dk1">
                    <a:lumMod val="65%"/>
                    <a:lumOff val="35%"/>
                  </a:schemeClr>
                </a:bgClr>
              </a:pattFill>
              <a:ln>
                <a:noFill/>
              </a:ln>
              <a:effectLst>
                <a:outerShdw blurRad="50800" dist="38100" dir="2700000" algn="tl" rotWithShape="0">
                  <a:prstClr val="black">
                    <a:alpha val="4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
                      <a:lumOff val="50%"/>
                    </a:schemeClr>
                  </a:solidFill>
                </a:ln>
                <a:effectLst/>
              </c:spPr>
            </c:leaderLines>
            <c:extLst>
              <c:ext xmlns:c15="http://schemas.microsoft.com/office/drawing/2012/chart" uri="{CE6537A1-D6FC-4f65-9D91-7224C49458BB}"/>
            </c:extLst>
          </c:dLbls>
          <c:cat>
            <c:strRef>
              <c:f>Sheet2!$R$5:$R$11</c:f>
              <c:strCache>
                <c:ptCount val="7"/>
                <c:pt idx="0">
                  <c:v>Accounting</c:v>
                </c:pt>
                <c:pt idx="1">
                  <c:v>Finance</c:v>
                </c:pt>
                <c:pt idx="2">
                  <c:v>HR</c:v>
                </c:pt>
                <c:pt idx="3">
                  <c:v>Legal</c:v>
                </c:pt>
                <c:pt idx="4">
                  <c:v>Marketing</c:v>
                </c:pt>
                <c:pt idx="5">
                  <c:v>Operations</c:v>
                </c:pt>
                <c:pt idx="6">
                  <c:v>Sales</c:v>
                </c:pt>
              </c:strCache>
            </c:strRef>
          </c:cat>
          <c:val>
            <c:numRef>
              <c:f>Sheet2!$S$5:$S$11</c:f>
              <c:numCache>
                <c:formatCode>General</c:formatCode>
                <c:ptCount val="7"/>
                <c:pt idx="0">
                  <c:v>9</c:v>
                </c:pt>
                <c:pt idx="1">
                  <c:v>0</c:v>
                </c:pt>
                <c:pt idx="2">
                  <c:v>0</c:v>
                </c:pt>
                <c:pt idx="3">
                  <c:v>0</c:v>
                </c:pt>
                <c:pt idx="4">
                  <c:v>0</c:v>
                </c:pt>
                <c:pt idx="5">
                  <c:v>0</c:v>
                </c:pt>
                <c:pt idx="6">
                  <c:v>0</c:v>
                </c:pt>
              </c:numCache>
            </c:numRef>
          </c:val>
          <c:extLst>
            <c:ext xmlns:c16="http://schemas.microsoft.com/office/drawing/2014/chart" uri="{C3380CC4-5D6E-409C-BE32-E72D297353CC}">
              <c16:uniqueId val="{0000000E-87CD-F04E-9227-2E6AD877E42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
            <a:alpha val="39%"/>
          </a:schemeClr>
        </a:solidFill>
        <a:ln>
          <a:noFill/>
        </a:ln>
        <a:effectLst/>
      </c:spPr>
      <c:txPr>
        <a:bodyPr rot="0" spcFirstLastPara="1" vertOverflow="ellipsis" vert="horz" wrap="square" anchor="ctr" anchorCtr="1"/>
        <a:lstStyle/>
        <a:p>
          <a:pPr>
            <a:defRPr sz="900" b="0" i="0" u="none" strike="noStrike" kern="1200" baseline="0%">
              <a:solidFill>
                <a:schemeClr val="dk1">
                  <a:lumMod val="75%"/>
                  <a:lumOff val="2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Sheet2!$S$32</c:f>
              <c:strCache>
                <c:ptCount val="1"/>
                <c:pt idx="0">
                  <c:v>HC REPORTING</c:v>
                </c:pt>
              </c:strCache>
            </c:strRef>
          </c:tx>
          <c:spPr>
            <a:solidFill>
              <a:srgbClr val="FFFF00"/>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CA05-4047-AE18-D4C58B908445}"/>
              </c:ext>
            </c:extLst>
          </c:dPt>
          <c:cat>
            <c:strRef>
              <c:f>Sheet2!$R$33:$R$34</c:f>
              <c:strCache>
                <c:ptCount val="2"/>
                <c:pt idx="0">
                  <c:v>Contract</c:v>
                </c:pt>
                <c:pt idx="1">
                  <c:v>Permanent</c:v>
                </c:pt>
              </c:strCache>
            </c:strRef>
          </c:cat>
          <c:val>
            <c:numRef>
              <c:f>Sheet2!$S$33:$S$34</c:f>
              <c:numCache>
                <c:formatCode>General</c:formatCode>
                <c:ptCount val="2"/>
                <c:pt idx="0">
                  <c:v>0</c:v>
                </c:pt>
                <c:pt idx="1">
                  <c:v>9</c:v>
                </c:pt>
              </c:numCache>
            </c:numRef>
          </c:val>
          <c:extLst>
            <c:ext xmlns:c16="http://schemas.microsoft.com/office/drawing/2014/chart" uri="{C3380CC4-5D6E-409C-BE32-E72D297353CC}">
              <c16:uniqueId val="{00000002-CA05-4047-AE18-D4C58B908445}"/>
            </c:ext>
          </c:extLst>
        </c:ser>
        <c:dLbls>
          <c:showLegendKey val="0"/>
          <c:showVal val="0"/>
          <c:showCatName val="0"/>
          <c:showSerName val="0"/>
          <c:showPercent val="0"/>
          <c:showBubbleSize val="0"/>
        </c:dLbls>
        <c:gapWidth val="219"/>
        <c:overlap val="100"/>
        <c:axId val="244291263"/>
        <c:axId val="244290815"/>
      </c:barChart>
      <c:catAx>
        <c:axId val="244291263"/>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44290815"/>
        <c:crosses val="autoZero"/>
        <c:auto val="1"/>
        <c:lblAlgn val="ctr"/>
        <c:lblOffset val="100"/>
        <c:noMultiLvlLbl val="0"/>
      </c:catAx>
      <c:valAx>
        <c:axId val="24429081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442912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Sheet2!$S$40</c:f>
              <c:strCache>
                <c:ptCount val="1"/>
                <c:pt idx="0">
                  <c:v>HC</c:v>
                </c:pt>
              </c:strCache>
            </c:strRef>
          </c:tx>
          <c:spPr>
            <a:solidFill>
              <a:schemeClr val="accent3">
                <a:lumMod val="40%"/>
                <a:lumOff val="60%"/>
              </a:schemeClr>
            </a:solidFill>
            <a:ln>
              <a:noFill/>
            </a:ln>
            <a:effectLst/>
          </c:spPr>
          <c:invertIfNegative val="0"/>
          <c:cat>
            <c:strRef>
              <c:f>Sheet2!$R$41:$R$46</c:f>
              <c:strCache>
                <c:ptCount val="6"/>
                <c:pt idx="0">
                  <c:v>5+ years</c:v>
                </c:pt>
                <c:pt idx="1">
                  <c:v>4+ years</c:v>
                </c:pt>
                <c:pt idx="2">
                  <c:v>3+ years</c:v>
                </c:pt>
                <c:pt idx="3">
                  <c:v>2+ years</c:v>
                </c:pt>
                <c:pt idx="4">
                  <c:v>1+ years</c:v>
                </c:pt>
                <c:pt idx="5">
                  <c:v>&lt;1 year</c:v>
                </c:pt>
              </c:strCache>
            </c:strRef>
          </c:cat>
          <c:val>
            <c:numRef>
              <c:f>Sheet2!$S$41:$S$46</c:f>
              <c:numCache>
                <c:formatCode>General</c:formatCode>
                <c:ptCount val="6"/>
                <c:pt idx="0">
                  <c:v>6</c:v>
                </c:pt>
                <c:pt idx="1">
                  <c:v>0</c:v>
                </c:pt>
                <c:pt idx="2">
                  <c:v>0</c:v>
                </c:pt>
                <c:pt idx="3">
                  <c:v>1</c:v>
                </c:pt>
                <c:pt idx="4">
                  <c:v>2</c:v>
                </c:pt>
                <c:pt idx="5">
                  <c:v>0</c:v>
                </c:pt>
              </c:numCache>
            </c:numRef>
          </c:val>
          <c:extLst>
            <c:ext xmlns:c16="http://schemas.microsoft.com/office/drawing/2014/chart" uri="{C3380CC4-5D6E-409C-BE32-E72D297353CC}">
              <c16:uniqueId val="{00000000-A171-B449-9845-6ED4883659E6}"/>
            </c:ext>
          </c:extLst>
        </c:ser>
        <c:dLbls>
          <c:showLegendKey val="0"/>
          <c:showVal val="0"/>
          <c:showCatName val="0"/>
          <c:showSerName val="0"/>
          <c:showPercent val="0"/>
          <c:showBubbleSize val="0"/>
        </c:dLbls>
        <c:gapWidth val="182"/>
        <c:axId val="243806015"/>
        <c:axId val="56839231"/>
      </c:barChart>
      <c:catAx>
        <c:axId val="243806015"/>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6839231"/>
        <c:crosses val="autoZero"/>
        <c:auto val="1"/>
        <c:lblAlgn val="ctr"/>
        <c:lblOffset val="100"/>
        <c:noMultiLvlLbl val="0"/>
      </c:catAx>
      <c:valAx>
        <c:axId val="56839231"/>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438060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purl.oclc.org/ooxml/drawingml/main" xmlns:r="http://purl.oclc.org/ooxml/officeDocument/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B9EC73F-3517-A347-84DB-2A1A6EA4D8A1}">
          <cx:tx>
            <cx:txData>
              <cx:f>_xlchart.v2.4</cx:f>
              <cx:v>HC</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purl.oclc.org/ooxml/drawingml/main" xmlns:r="http://purl.oclc.org/ooxml/officeDocument/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1FC50875-CB09-2847-9179-C094A37730F7}">
          <cx:tx>
            <cx:txData>
              <cx:f>_xlchart.v2.1</cx:f>
              <cx:v>HC REPORTING</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purl.oclc.org/ooxml/drawingml/main" xmlns:r="http://purl.oclc.org/ooxml/officeDocument/relationships" xmlns:cx="http://schemas.microsoft.com/office/drawing/2014/chartex">
  <cx:chartData>
    <cx:data id="0">
      <cx:strDim type="cat">
        <cx:f>_xlchart.v2.6</cx:f>
      </cx:strDim>
      <cx:numDim type="val">
        <cx:f>_xlchart.v2.8</cx:f>
      </cx:numDim>
    </cx:data>
  </cx:chartData>
  <cx:chart>
    <cx:title pos="t" align="ctr" overlay="1">
      <cx:tx>
        <cx:rich>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endParaRPr lang="en-GB" sz="1400" b="0" i="0" u="none" strike="noStrike" baseline="0%">
              <a:solidFill>
                <a:sysClr val="windowText" lastClr="000000">
                  <a:lumMod val="65%"/>
                  <a:lumOff val="35%"/>
                </a:sysClr>
              </a:solidFill>
              <a:latin typeface="Aptos Narrow" panose="02110004020202020204"/>
            </a:endParaRPr>
          </a:p>
          <a:p xmlns:a="http://schemas.openxmlformats.org/drawingml/2006/main">
            <a:pPr algn="ctr" rtl="0">
              <a:defRPr/>
            </a:pPr>
            <a:endParaRPr lang="en-GB" sz="1400" b="0" i="0" u="none" strike="noStrike" baseline="0%">
              <a:solidFill>
                <a:sysClr val="windowText" lastClr="000000">
                  <a:lumMod val="65%"/>
                  <a:lumOff val="35%"/>
                </a:sysClr>
              </a:solidFill>
              <a:latin typeface="Aptos Narrow" panose="02110004020202020204"/>
            </a:endParaRPr>
          </a:p>
        </cx:rich>
      </cx:tx>
    </cx:title>
    <cx:plotArea>
      <cx:plotAreaRegion>
        <cx:series layoutId="funnel" uniqueId="{CBA70D5A-41A0-E741-9F2C-907B3C748C7E}">
          <cx:tx>
            <cx:txData>
              <cx:f>_xlchart.v2.7</cx:f>
              <cx:v>HC</cx:v>
            </cx:txData>
          </cx:tx>
          <cx:dataPt idx="0">
            <cx:spPr>
              <a:solidFill xmlns:a="http://schemas.openxmlformats.org/drawingml/2006/main">
                <a:srgbClr val="FFFF00"/>
              </a:solidFill>
            </cx:spPr>
          </cx:dataPt>
          <cx:dataPt idx="1">
            <cx:spPr>
              <a:solidFill xmlns:a="http://schemas.openxmlformats.org/drawingml/2006/main">
                <a:srgbClr val="4EA72E">
                  <a:lumMod val="60%"/>
                  <a:lumOff val="40%"/>
                </a:srgbClr>
              </a:solidFill>
            </cx:spPr>
          </cx:dataPt>
          <cx:dataPt idx="2">
            <cx:spPr>
              <a:solidFill xmlns:a="http://schemas.openxmlformats.org/drawingml/2006/main">
                <a:srgbClr val="00B0F0"/>
              </a:solidFill>
            </cx:spPr>
          </cx:dataPt>
          <cx:dataPt idx="3">
            <cx:spPr>
              <a:solidFill xmlns:a="http://schemas.openxmlformats.org/drawingml/2006/main">
                <a:srgbClr val="FF7D8F"/>
              </a:solidFill>
            </cx:spPr>
          </cx:dataPt>
          <cx:dataLabels pos="ctr">
            <cx:visibility seriesName="0" categoryName="0" value="1"/>
            <cx:separator>, </cx:separator>
          </cx:dataLabels>
          <cx:dataId val="0"/>
        </cx:series>
      </cx:plotAreaRegion>
      <cx:axis id="0">
        <cx:catScaling gapWidth="0.0599999987"/>
        <cx:tickLabels/>
      </cx:axis>
    </cx:plotArea>
  </cx:chart>
  <cx:spPr>
    <a:noFill xmlns:a="http://schemas.openxmlformats.org/drawingml/2006/main"/>
    <a:ln xmlns:a="http://schemas.openxmlformats.org/drawingml/2006/main">
      <a:noFill/>
    </a:ln>
  </cx:spPr>
</cx:chartSpace>
</file>

<file path=xl/charts/chartEx4.xml><?xml version="1.0" encoding="utf-8"?>
<cx:chartSpace xmlns:a="http://purl.oclc.org/ooxml/drawingml/main" xmlns:r="http://purl.oclc.org/ooxml/officeDocument/relationships" xmlns:cx="http://schemas.microsoft.com/office/drawing/2014/chartex">
  <cx:chartData>
    <cx:data id="0">
      <cx:strDim type="cat">
        <cx:f>_xlchart.v2.9</cx:f>
      </cx:strDim>
      <cx:numDim type="val">
        <cx:f>_xlchart.v2.11</cx:f>
      </cx:numDim>
    </cx:data>
  </cx:chartData>
  <cx:chart>
    <cx:plotArea>
      <cx:plotAreaRegion>
        <cx:plotSurface>
          <cx:spPr>
            <a:noFill xmlns:a="http://schemas.openxmlformats.org/drawingml/2006/main"/>
            <a:ln xmlns:a="http://schemas.openxmlformats.org/drawingml/2006/main">
              <a:noFill/>
            </a:ln>
          </cx:spPr>
        </cx:plotSurface>
        <cx:series layoutId="funnel" uniqueId="{1FC50875-CB09-2847-9179-C094A37730F7}">
          <cx:tx>
            <cx:txData>
              <cx:f>_xlchart.v2.10</cx:f>
              <cx:v>HC REPORTING</cx:v>
            </cx:txData>
          </cx:tx>
          <cx:dataPt idx="0">
            <cx:spPr>
              <a:solidFill xmlns:a="http://schemas.openxmlformats.org/drawingml/2006/main">
                <a:srgbClr val="00B0F0"/>
              </a:solidFill>
            </cx:spPr>
          </cx:dataPt>
          <cx:dataPt idx="1">
            <cx:spPr>
              <a:solidFill xmlns:a="http://schemas.openxmlformats.org/drawingml/2006/main">
                <a:srgbClr val="FF7D8F"/>
              </a:solidFill>
            </cx:spPr>
          </cx:dataPt>
          <cx:dataPt idx="2">
            <cx:spPr>
              <a:solidFill xmlns:a="http://schemas.openxmlformats.org/drawingml/2006/main">
                <a:srgbClr val="FFFF00"/>
              </a:solidFill>
            </cx:spPr>
          </cx:dataPt>
          <cx:dataPt idx="3">
            <cx:spPr>
              <a:solidFill xmlns:a="http://schemas.openxmlformats.org/drawingml/2006/main">
                <a:srgbClr val="92D050"/>
              </a:solidFill>
            </cx:spPr>
          </cx:dataPt>
          <cx:dataPt idx="4">
            <cx:spPr>
              <a:solidFill xmlns:a="http://schemas.openxmlformats.org/drawingml/2006/main">
                <a:srgbClr val="A02B93">
                  <a:lumMod val="40%"/>
                  <a:lumOff val="60%"/>
                </a:srgbClr>
              </a:solidFill>
            </cx:spPr>
          </cx:dataPt>
          <cx:dataPt idx="5">
            <cx:spPr>
              <a:solidFill xmlns:a="http://schemas.openxmlformats.org/drawingml/2006/main">
                <a:srgbClr val="E97132">
                  <a:lumMod val="40%"/>
                  <a:lumOff val="60%"/>
                </a:srgbClr>
              </a:solidFill>
            </cx:spPr>
          </cx:dataPt>
          <cx:dataPt idx="6"/>
          <cx:dataLabels>
            <cx:visibility seriesName="0" categoryName="0" value="1"/>
          </cx:dataLabels>
          <cx:dataId val="0"/>
        </cx:series>
      </cx:plotAreaRegion>
      <cx:axis id="0">
        <cx:catScaling gapWidth="0.0599999987"/>
        <cx:tickLabels/>
      </cx:axis>
    </cx:plotArea>
  </cx:chart>
  <cx:spPr>
    <a:noFill xmlns:a="http://schemas.openxmlformats.org/drawingml/2006/main"/>
    <a:ln xmlns:a="http://schemas.openxmlformats.org/drawingml/2006/main">
      <a:noFill/>
    </a:ln>
  </cx:spPr>
</cx: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419">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419">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419">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purl.oclc.org/ooxml/drawingml/main" id="253">
  <cs:axisTitle>
    <cs:lnRef idx="0"/>
    <cs:fillRef idx="0"/>
    <cs:effectRef idx="0"/>
    <cs:fontRef idx="minor">
      <a:schemeClr val="dk1">
        <a:lumMod val="75%"/>
        <a:lumOff val="25%"/>
      </a:schemeClr>
    </cs:fontRef>
    <cs:defRPr sz="900" b="1" kern="12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kern="1200"/>
  </cs:chartArea>
  <cs:dataLabel>
    <cs:lnRef idx="0"/>
    <cs:fillRef idx="0"/>
    <cs:effectRef idx="0"/>
    <cs:fontRef idx="minor">
      <a:schemeClr val="lt1"/>
    </cs:fontRef>
    <cs:spPr>
      <a:pattFill prst="pct75">
        <a:fgClr>
          <a:schemeClr val="dk1">
            <a:lumMod val="75%"/>
            <a:lumOff val="25%"/>
          </a:schemeClr>
        </a:fgClr>
        <a:bgClr>
          <a:schemeClr val="dk1">
            <a:lumMod val="65%"/>
            <a:lumOff val="35%"/>
          </a:schemeClr>
        </a:bgClr>
      </a:pattFill>
      <a:effectLst>
        <a:outerShdw blurRad="50800" dist="38100" dir="2700000" algn="tl" rotWithShape="0">
          <a:prstClr val="black">
            <a:alpha val="4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
            <a:lumOff val="25%"/>
          </a:schemeClr>
        </a:fgClr>
        <a:bgClr>
          <a:schemeClr val="dk1">
            <a:lumMod val="65%"/>
            <a:lumOff val="35%"/>
          </a:schemeClr>
        </a:bgClr>
      </a:pattFill>
      <a:effectLst>
        <a:outerShdw blurRad="50800" dist="38100" dir="2700000" algn="tl" rotWithShape="0">
          <a:prstClr val="black">
            <a:alpha val="4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 sy="102%" algn="ctr" rotWithShape="0">
          <a:prstClr val="black">
            <a:alpha val="20%"/>
          </a:prstClr>
        </a:outerShdw>
      </a:effectLst>
    </cs:spPr>
  </cs:dataPoint>
  <cs:dataPoint3D>
    <cs:lnRef idx="0"/>
    <cs:fillRef idx="0">
      <cs:styleClr val="auto"/>
    </cs:fillRef>
    <cs:effectRef idx="0"/>
    <cs:fontRef idx="minor">
      <a:schemeClr val="dk1"/>
    </cs:fontRef>
    <cs:spPr>
      <a:solidFill>
        <a:schemeClr val="phClr"/>
      </a:solidFill>
      <a:effectLst>
        <a:outerShdw blurRad="254000" sx="102%" sy="102%" algn="ctr" rotWithShape="0">
          <a:prstClr val="black">
            <a:alpha val="20%"/>
          </a:prstClr>
        </a:outerShdw>
      </a:effectLst>
    </cs:spPr>
  </cs:dataPoint3D>
  <cs:dataPointLine>
    <cs:lnRef idx="0">
      <cs:styleClr val="auto"/>
    </cs:lnRef>
    <cs:fillRef idx="0"/>
    <cs:effectRef idx="0"/>
    <cs:fontRef idx="minor">
      <a:schemeClr val="dk1"/>
    </cs:fontRef>
    <cs:spPr>
      <a:ln w="31750" cap="rnd">
        <a:solidFill>
          <a:schemeClr val="phClr">
            <a:alpha val="85%"/>
          </a:schemeClr>
        </a:solidFill>
        <a:round/>
      </a:ln>
    </cs:spPr>
  </cs:dataPointLine>
  <cs:dataPointMarker>
    <cs:lnRef idx="0"/>
    <cs:fillRef idx="0">
      <cs:styleClr val="auto"/>
    </cs:fillRef>
    <cs:effectRef idx="0"/>
    <cs:fontRef idx="minor">
      <a:schemeClr val="dk1"/>
    </cs:fontRef>
    <cs:spPr>
      <a:solidFill>
        <a:schemeClr val="phClr">
          <a:alpha val="85%"/>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35%"/>
            <a:lumOff val="65%"/>
          </a:schemeClr>
        </a:solidFill>
      </a:ln>
    </cs:spPr>
    <cs:defRPr sz="900" kern="12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dk1"/>
    </cs:fontRef>
    <cs:spPr>
      <a:ln w="9525">
        <a:solidFill>
          <a:schemeClr val="dk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schemeClr>
            </a:gs>
            <a:gs pos="0%">
              <a:schemeClr val="lt1">
                <a:lumMod val="75%"/>
                <a:alpha val="36%"/>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a:solidFill>
          <a:schemeClr val="dk1">
            <a:lumMod val="50%"/>
            <a:lumOff val="50%"/>
          </a:schemeClr>
        </a:solidFill>
      </a:ln>
    </cs:spPr>
  </cs:leaderLine>
  <cs:legend>
    <cs:lnRef idx="0"/>
    <cs:fillRef idx="0"/>
    <cs:effectRef idx="0"/>
    <cs:fontRef idx="minor">
      <a:schemeClr val="dk1">
        <a:lumMod val="75%"/>
        <a:lumOff val="25%"/>
      </a:schemeClr>
    </cs:fontRef>
    <cs:spPr>
      <a:solidFill>
        <a:schemeClr val="lt1">
          <a:lumMod val="95%"/>
          <a:alpha val="39%"/>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31750" cap="flat" cmpd="sng" algn="ctr">
        <a:solidFill>
          <a:schemeClr val="dk1">
            <a:lumMod val="75%"/>
            <a:lumOff val="25%"/>
          </a:schemeClr>
        </a:solidFill>
        <a:round/>
      </a:ln>
    </cs:spPr>
    <cs:defRPr sz="900" kern="1200"/>
  </cs:seriesAxis>
  <cs:seriesLine>
    <cs:lnRef idx="0"/>
    <cs:fillRef idx="0"/>
    <cs:effectRef idx="0"/>
    <cs:fontRef idx="minor">
      <a:schemeClr val="dk1"/>
    </cs:fontRef>
    <cs:spPr>
      <a:ln w="9525">
        <a:solidFill>
          <a:schemeClr val="dk1">
            <a:lumMod val="50%"/>
            <a:lumOff val="50%"/>
          </a:schemeClr>
        </a:solidFill>
        <a:round/>
      </a:ln>
    </cs:spPr>
  </cs:seriesLine>
  <cs:title>
    <cs:lnRef idx="0"/>
    <cs:fillRef idx="0"/>
    <cs:effectRef idx="0"/>
    <cs:fontRef idx="minor">
      <a:schemeClr val="dk1">
        <a:lumMod val="75%"/>
        <a:lumOff val="25%"/>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
        <a:lumOff val="25%"/>
      </a:schemeClr>
    </cs:fontRef>
    <cs:defRPr sz="900" kern="12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purl.oclc.org/ooxml/drawingml/main" id="419">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9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purl.oclc.org/ooxml/officeDocument/relationships/chart" Target="../charts/chart5.xml"/><Relationship Id="rId2" Type="http://purl.oclc.org/ooxml/officeDocument/relationships/chart" Target="../charts/chart2.xml"/><Relationship Id="rId1" Type="http://purl.oclc.org/ooxml/officeDocument/relationships/chart" Target="../charts/chart1.xml"/><Relationship Id="rId6" Type="http://purl.oclc.org/ooxml/officeDocument/relationships/chart" Target="../charts/chart4.xml"/><Relationship Id="rId5" Type="http://schemas.microsoft.com/office/2014/relationships/chartEx" Target="../charts/chartEx2.xml"/><Relationship Id="rId4" Type="http://purl.oclc.org/ooxml/officeDocument/relationships/chart" Target="../charts/chart3.xml"/></Relationships>
</file>

<file path=xl/drawings/_rels/drawing3.xml.rels><?xml version="1.0" encoding="UTF-8" standalone="yes"?>
<Relationships xmlns="http://schemas.openxmlformats.org/package/2006/relationships"><Relationship Id="rId8" Type="http://schemas.microsoft.com/office/2007/relationships/hdphoto" Target="../media/hdphoto1.wdp"/><Relationship Id="rId13" Type="http://purl.oclc.org/ooxml/officeDocument/relationships/chart" Target="../charts/chart9.xml"/><Relationship Id="rId18" Type="http://purl.oclc.org/ooxml/officeDocument/relationships/image" Target="../media/image10.svg"/><Relationship Id="rId26" Type="http://purl.oclc.org/ooxml/officeDocument/relationships/image" Target="../media/image18.png"/><Relationship Id="rId3" Type="http://purl.oclc.org/ooxml/officeDocument/relationships/image" Target="../media/image3.svg"/><Relationship Id="rId21" Type="http://purl.oclc.org/ooxml/officeDocument/relationships/image" Target="../media/image13.png"/><Relationship Id="rId7" Type="http://purl.oclc.org/ooxml/officeDocument/relationships/image" Target="../media/image6.png"/><Relationship Id="rId12" Type="http://schemas.microsoft.com/office/2014/relationships/chartEx" Target="../charts/chartEx4.xml"/><Relationship Id="rId17" Type="http://purl.oclc.org/ooxml/officeDocument/relationships/image" Target="../media/image9.png"/><Relationship Id="rId25" Type="http://purl.oclc.org/ooxml/officeDocument/relationships/image" Target="../media/image17.png"/><Relationship Id="rId2" Type="http://purl.oclc.org/ooxml/officeDocument/relationships/image" Target="../media/image2.png"/><Relationship Id="rId16" Type="http://purl.oclc.org/ooxml/officeDocument/relationships/image" Target="../media/image8.svg"/><Relationship Id="rId20" Type="http://purl.oclc.org/ooxml/officeDocument/relationships/image" Target="../media/image12.svg"/><Relationship Id="rId1" Type="http://purl.oclc.org/ooxml/officeDocument/relationships/image" Target="../media/image1.png"/><Relationship Id="rId6" Type="http://purl.oclc.org/ooxml/officeDocument/relationships/chart" Target="../charts/chart6.xml"/><Relationship Id="rId11" Type="http://purl.oclc.org/ooxml/officeDocument/relationships/chart" Target="../charts/chart8.xml"/><Relationship Id="rId24" Type="http://purl.oclc.org/ooxml/officeDocument/relationships/image" Target="../media/image16.svg"/><Relationship Id="rId5" Type="http://purl.oclc.org/ooxml/officeDocument/relationships/image" Target="../media/image5.svg"/><Relationship Id="rId15" Type="http://purl.oclc.org/ooxml/officeDocument/relationships/image" Target="../media/image7.png"/><Relationship Id="rId23" Type="http://purl.oclc.org/ooxml/officeDocument/relationships/image" Target="../media/image15.png"/><Relationship Id="rId10" Type="http://schemas.microsoft.com/office/2014/relationships/chartEx" Target="../charts/chartEx3.xml"/><Relationship Id="rId19" Type="http://purl.oclc.org/ooxml/officeDocument/relationships/image" Target="../media/image11.png"/><Relationship Id="rId4" Type="http://purl.oclc.org/ooxml/officeDocument/relationships/image" Target="../media/image4.png"/><Relationship Id="rId9" Type="http://purl.oclc.org/ooxml/officeDocument/relationships/chart" Target="../charts/chart7.xml"/><Relationship Id="rId14" Type="http://purl.oclc.org/ooxml/officeDocument/relationships/chart" Target="../charts/chart10.xml"/><Relationship Id="rId22" Type="http://purl.oclc.org/ooxml/officeDocument/relationships/image" Target="../media/image14.svg"/></Relationships>
</file>

<file path=xl/drawings/drawing1.xml><?xml version="1.0" encoding="utf-8"?>
<xdr:wsDr xmlns:xdr="http://purl.oclc.org/ooxml/drawingml/spreadsheetDrawing" xmlns:a="http://purl.oclc.org/ooxml/drawingml/main">
  <xdr:twoCellAnchor>
    <xdr:from>
      <xdr:col>2</xdr:col>
      <xdr:colOff>95250</xdr:colOff>
      <xdr:row>11</xdr:row>
      <xdr:rowOff>88900</xdr:rowOff>
    </xdr:from>
    <xdr:to>
      <xdr:col>4</xdr:col>
      <xdr:colOff>1016000</xdr:colOff>
      <xdr:row>19</xdr:row>
      <xdr:rowOff>95250</xdr:rowOff>
    </xdr:to>
    <xdr:graphicFrame macro="">
      <xdr:nvGraphicFramePr>
        <xdr:cNvPr id="5" name="Chart 4">
          <a:extLst>
            <a:ext uri="{FF2B5EF4-FFF2-40B4-BE49-F238E27FC236}">
              <a16:creationId xmlns:a16="http://schemas.microsoft.com/office/drawing/2014/main" id="{585C56A2-F357-A0B0-E4C1-83830DCC012E}"/>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12</xdr:col>
      <xdr:colOff>38100</xdr:colOff>
      <xdr:row>0</xdr:row>
      <xdr:rowOff>0</xdr:rowOff>
    </xdr:from>
    <xdr:to>
      <xdr:col>14</xdr:col>
      <xdr:colOff>254000</xdr:colOff>
      <xdr:row>7</xdr:row>
      <xdr:rowOff>107950</xdr:rowOff>
    </xdr:to>
    <xdr:graphicFrame macro="">
      <xdr:nvGraphicFramePr>
        <xdr:cNvPr id="11" name="Chart 10">
          <a:extLst>
            <a:ext uri="{FF2B5EF4-FFF2-40B4-BE49-F238E27FC236}">
              <a16:creationId xmlns:a16="http://schemas.microsoft.com/office/drawing/2014/main" id="{CC167064-7A31-02B9-7690-707915DFAE56}"/>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8</xdr:col>
      <xdr:colOff>209550</xdr:colOff>
      <xdr:row>22</xdr:row>
      <xdr:rowOff>38100</xdr:rowOff>
    </xdr:from>
    <xdr:to>
      <xdr:col>11</xdr:col>
      <xdr:colOff>736600</xdr:colOff>
      <xdr:row>33</xdr:row>
      <xdr:rowOff>69850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2FC213B7-96EB-5F9A-00EE-D5C098207484}"/>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3"/>
            </a:graphicData>
          </a:graphic>
        </xdr:graphicFrame>
      </mc:Choice>
      <mc:Fallback>
        <xdr:sp macro="" textlink="">
          <xdr:nvSpPr>
            <xdr:cNvPr id="0" name=""/>
            <xdr:cNvSpPr>
              <a:spLocks noTextEdit="1"/>
            </xdr:cNvSpPr>
          </xdr:nvSpPr>
          <xdr:spPr>
            <a:xfrm>
              <a:off x="7181850" y="4343400"/>
              <a:ext cx="3092450" cy="21272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6350</xdr:colOff>
      <xdr:row>3</xdr:row>
      <xdr:rowOff>0</xdr:rowOff>
    </xdr:from>
    <xdr:to>
      <xdr:col>23</xdr:col>
      <xdr:colOff>444500</xdr:colOff>
      <xdr:row>11</xdr:row>
      <xdr:rowOff>146050</xdr:rowOff>
    </xdr:to>
    <xdr:graphicFrame macro="">
      <xdr:nvGraphicFramePr>
        <xdr:cNvPr id="14" name="Chart 13">
          <a:extLst>
            <a:ext uri="{FF2B5EF4-FFF2-40B4-BE49-F238E27FC236}">
              <a16:creationId xmlns:a16="http://schemas.microsoft.com/office/drawing/2014/main" id="{3650DA0E-C341-7D5B-9F02-AED4A01B4482}"/>
            </a:ext>
          </a:extLst>
        </xdr:cNvPr>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20</xdr:col>
      <xdr:colOff>19050</xdr:colOff>
      <xdr:row>16</xdr:row>
      <xdr:rowOff>152400</xdr:rowOff>
    </xdr:from>
    <xdr:to>
      <xdr:col>23</xdr:col>
      <xdr:colOff>787400</xdr:colOff>
      <xdr:row>27</xdr:row>
      <xdr:rowOff>146050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BDF8873F-D13C-6295-353C-FFC2D3BFE071}"/>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5"/>
            </a:graphicData>
          </a:graphic>
        </xdr:graphicFrame>
      </mc:Choice>
      <mc:Fallback>
        <xdr:sp macro="" textlink="">
          <xdr:nvSpPr>
            <xdr:cNvPr id="0" name=""/>
            <xdr:cNvSpPr>
              <a:spLocks noTextEdit="1"/>
            </xdr:cNvSpPr>
          </xdr:nvSpPr>
          <xdr:spPr>
            <a:xfrm>
              <a:off x="16986250" y="3314700"/>
              <a:ext cx="3244850" cy="20891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463550</xdr:colOff>
      <xdr:row>20</xdr:row>
      <xdr:rowOff>127000</xdr:rowOff>
    </xdr:from>
    <xdr:to>
      <xdr:col>14</xdr:col>
      <xdr:colOff>584200</xdr:colOff>
      <xdr:row>25</xdr:row>
      <xdr:rowOff>31750</xdr:rowOff>
    </xdr:to>
    <xdr:graphicFrame macro="">
      <xdr:nvGraphicFramePr>
        <xdr:cNvPr id="16" name="Chart 15">
          <a:extLst>
            <a:ext uri="{FF2B5EF4-FFF2-40B4-BE49-F238E27FC236}">
              <a16:creationId xmlns:a16="http://schemas.microsoft.com/office/drawing/2014/main" id="{210E77D4-500A-EBE1-441D-7E63D1D4050E}"/>
            </a:ext>
          </a:extLst>
        </xdr:cNvPr>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9</xdr:col>
      <xdr:colOff>330200</xdr:colOff>
      <xdr:row>32</xdr:row>
      <xdr:rowOff>95250</xdr:rowOff>
    </xdr:from>
    <xdr:to>
      <xdr:col>14</xdr:col>
      <xdr:colOff>685800</xdr:colOff>
      <xdr:row>46</xdr:row>
      <xdr:rowOff>158750</xdr:rowOff>
    </xdr:to>
    <xdr:graphicFrame macro="">
      <xdr:nvGraphicFramePr>
        <xdr:cNvPr id="17" name="Chart 16">
          <a:extLst>
            <a:ext uri="{FF2B5EF4-FFF2-40B4-BE49-F238E27FC236}">
              <a16:creationId xmlns:a16="http://schemas.microsoft.com/office/drawing/2014/main" id="{2FB199D9-5FD7-A548-55DB-F6685C15F486}"/>
            </a:ext>
          </a:extLst>
        </xdr:cNvPr>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editAs="oneCell">
    <xdr:from>
      <xdr:col>5</xdr:col>
      <xdr:colOff>228600</xdr:colOff>
      <xdr:row>14</xdr:row>
      <xdr:rowOff>76200</xdr:rowOff>
    </xdr:from>
    <xdr:to>
      <xdr:col>7</xdr:col>
      <xdr:colOff>406400</xdr:colOff>
      <xdr:row>27</xdr:row>
      <xdr:rowOff>28569</xdr:rowOff>
    </xdr:to>
    <mc:AlternateContent xmlns:mc="http://schemas.openxmlformats.org/markup-compatibility/2006" xmlns:a14="http://schemas.microsoft.com/office/drawing/2010/main">
      <mc:Choice Requires="a14">
        <xdr:graphicFrame macro="">
          <xdr:nvGraphicFramePr>
            <xdr:cNvPr id="2" name="Department 2">
              <a:extLst>
                <a:ext uri="{FF2B5EF4-FFF2-40B4-BE49-F238E27FC236}">
                  <a16:creationId xmlns:a16="http://schemas.microsoft.com/office/drawing/2014/main" id="{04DCB7B1-0EEE-0C4D-995C-4F2E5A071D5D}"/>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4724400" y="2857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editAs="oneCell">
    <xdr:from>
      <xdr:col>6</xdr:col>
      <xdr:colOff>355600</xdr:colOff>
      <xdr:row>17</xdr:row>
      <xdr:rowOff>88900</xdr:rowOff>
    </xdr:from>
    <xdr:to>
      <xdr:col>8</xdr:col>
      <xdr:colOff>533400</xdr:colOff>
      <xdr:row>30</xdr:row>
      <xdr:rowOff>41269</xdr:rowOff>
    </xdr:to>
    <mc:AlternateContent xmlns:mc="http://schemas.openxmlformats.org/markup-compatibility/2006" xmlns:a14="http://schemas.microsoft.com/office/drawing/2010/main">
      <mc:Choice Requires="a14">
        <xdr:graphicFrame macro="">
          <xdr:nvGraphicFramePr>
            <xdr:cNvPr id="3" name="Emp Status">
              <a:extLst>
                <a:ext uri="{FF2B5EF4-FFF2-40B4-BE49-F238E27FC236}">
                  <a16:creationId xmlns:a16="http://schemas.microsoft.com/office/drawing/2014/main" id="{52FD61B3-AADF-AB22-851E-2020740B2FB7}"/>
                </a:ext>
              </a:extLst>
            </xdr:cNvPr>
            <xdr:cNvGraphicFramePr/>
          </xdr:nvGraphicFramePr>
          <xdr:xfrm>
            <a:off x="0" y="0"/>
            <a:ext cx="0" cy="0"/>
          </xdr:xfrm>
          <a:graphic>
            <a:graphicData uri="http://schemas.microsoft.com/office/drawing/2010/slicer">
              <sle:slicer xmlns:sle="http://schemas.microsoft.com/office/drawing/2010/slicer" name="Emp Status"/>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6108700" y="3327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711200</xdr:colOff>
      <xdr:row>20</xdr:row>
      <xdr:rowOff>139700</xdr:rowOff>
    </xdr:from>
    <xdr:to>
      <xdr:col>6</xdr:col>
      <xdr:colOff>63500</xdr:colOff>
      <xdr:row>33</xdr:row>
      <xdr:rowOff>92069</xdr:rowOff>
    </xdr:to>
    <mc:AlternateContent xmlns:mc="http://schemas.openxmlformats.org/markup-compatibility/2006" xmlns:a14="http://schemas.microsoft.com/office/drawing/2010/main">
      <mc:Choice Requires="a14">
        <xdr:graphicFrame macro="">
          <xdr:nvGraphicFramePr>
            <xdr:cNvPr id="4" name="Department 3">
              <a:extLst>
                <a:ext uri="{FF2B5EF4-FFF2-40B4-BE49-F238E27FC236}">
                  <a16:creationId xmlns:a16="http://schemas.microsoft.com/office/drawing/2014/main" id="{B9635C07-A729-EB4A-8288-BCE44FACE03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3987800" y="3949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12</xdr:row>
      <xdr:rowOff>152400</xdr:rowOff>
    </xdr:from>
    <xdr:to>
      <xdr:col>11</xdr:col>
      <xdr:colOff>368300</xdr:colOff>
      <xdr:row>25</xdr:row>
      <xdr:rowOff>104769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B7A093F-B62F-3073-944E-CB1DBFDF5C3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8420100" y="2438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12</xdr:row>
      <xdr:rowOff>152400</xdr:rowOff>
    </xdr:from>
    <xdr:to>
      <xdr:col>11</xdr:col>
      <xdr:colOff>368300</xdr:colOff>
      <xdr:row>25</xdr:row>
      <xdr:rowOff>104769</xdr:rowOff>
    </xdr:to>
    <mc:AlternateContent xmlns:mc="http://schemas.openxmlformats.org/markup-compatibility/2006" xmlns:a14="http://schemas.microsoft.com/office/drawing/2010/main">
      <mc:Choice Requires="a14">
        <xdr:graphicFrame macro="">
          <xdr:nvGraphicFramePr>
            <xdr:cNvPr id="6" name="Reporting Manager">
              <a:extLst>
                <a:ext uri="{FF2B5EF4-FFF2-40B4-BE49-F238E27FC236}">
                  <a16:creationId xmlns:a16="http://schemas.microsoft.com/office/drawing/2014/main" id="{E38115E8-5FED-B011-865B-957036F55197}"/>
                </a:ext>
              </a:extLst>
            </xdr:cNvPr>
            <xdr:cNvGraphicFramePr/>
          </xdr:nvGraphicFramePr>
          <xdr:xfrm>
            <a:off x="0" y="0"/>
            <a:ext cx="0" cy="0"/>
          </xdr:xfrm>
          <a:graphic>
            <a:graphicData uri="http://schemas.microsoft.com/office/drawing/2010/slicer">
              <sle:slicer xmlns:sle="http://schemas.microsoft.com/office/drawing/2010/slicer" name="Reporting Manager"/>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8420100" y="2438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purl.oclc.org/ooxml/drawingml/spreadsheetDrawing" xmlns:a="http://purl.oclc.org/ooxml/drawingml/main">
  <xdr:twoCellAnchor>
    <xdr:from>
      <xdr:col>2</xdr:col>
      <xdr:colOff>533400</xdr:colOff>
      <xdr:row>0</xdr:row>
      <xdr:rowOff>50800</xdr:rowOff>
    </xdr:from>
    <xdr:to>
      <xdr:col>5</xdr:col>
      <xdr:colOff>719667</xdr:colOff>
      <xdr:row>5</xdr:row>
      <xdr:rowOff>177800</xdr:rowOff>
    </xdr:to>
    <xdr:sp macro="" textlink="">
      <xdr:nvSpPr>
        <xdr:cNvPr id="3" name="Rectangle 2">
          <a:extLst>
            <a:ext uri="{FF2B5EF4-FFF2-40B4-BE49-F238E27FC236}">
              <a16:creationId xmlns:a16="http://schemas.microsoft.com/office/drawing/2014/main" id="{914A6BB7-EF12-BA49-8C09-B49B5EC6C6C5}"/>
            </a:ext>
          </a:extLst>
        </xdr:cNvPr>
        <xdr:cNvSpPr/>
      </xdr:nvSpPr>
      <xdr:spPr>
        <a:xfrm>
          <a:off x="2184400" y="50800"/>
          <a:ext cx="2662767" cy="10795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editAs="oneCell">
    <xdr:from>
      <xdr:col>3</xdr:col>
      <xdr:colOff>190500</xdr:colOff>
      <xdr:row>0</xdr:row>
      <xdr:rowOff>50800</xdr:rowOff>
    </xdr:from>
    <xdr:to>
      <xdr:col>5</xdr:col>
      <xdr:colOff>204167</xdr:colOff>
      <xdr:row>5</xdr:row>
      <xdr:rowOff>118969</xdr:rowOff>
    </xdr:to>
    <xdr:pic>
      <xdr:nvPicPr>
        <xdr:cNvPr id="4" name="Picture 3">
          <a:extLst>
            <a:ext uri="{FF2B5EF4-FFF2-40B4-BE49-F238E27FC236}">
              <a16:creationId xmlns:a16="http://schemas.microsoft.com/office/drawing/2014/main" id="{2577FE4F-144E-CF47-B140-5E479D5D19AE}"/>
            </a:ext>
          </a:extLst>
        </xdr:cNvPr>
        <xdr:cNvPicPr>
          <a:picLocks noChangeAspect="1"/>
        </xdr:cNvPicPr>
      </xdr:nvPicPr>
      <xdr:blipFill>
        <a:blip xmlns:r="http://purl.oclc.org/ooxml/officeDocument/relationships" r:embed="rId1"/>
        <a:stretch>
          <a:fillRect/>
        </a:stretch>
      </xdr:blipFill>
      <xdr:spPr>
        <a:xfrm>
          <a:off x="2667000" y="50800"/>
          <a:ext cx="1664667" cy="1020669"/>
        </a:xfrm>
        <a:prstGeom prst="rect">
          <a:avLst/>
        </a:prstGeom>
      </xdr:spPr>
    </xdr:pic>
    <xdr:clientData/>
  </xdr:twoCellAnchor>
  <xdr:twoCellAnchor>
    <xdr:from>
      <xdr:col>2</xdr:col>
      <xdr:colOff>533400</xdr:colOff>
      <xdr:row>6</xdr:row>
      <xdr:rowOff>12700</xdr:rowOff>
    </xdr:from>
    <xdr:to>
      <xdr:col>5</xdr:col>
      <xdr:colOff>719667</xdr:colOff>
      <xdr:row>44</xdr:row>
      <xdr:rowOff>107109</xdr:rowOff>
    </xdr:to>
    <xdr:sp macro="" textlink="">
      <xdr:nvSpPr>
        <xdr:cNvPr id="5" name="Rectangle 4">
          <a:extLst>
            <a:ext uri="{FF2B5EF4-FFF2-40B4-BE49-F238E27FC236}">
              <a16:creationId xmlns:a16="http://schemas.microsoft.com/office/drawing/2014/main" id="{95D2F583-2C32-AA48-BBFD-B7230B8188AB}"/>
            </a:ext>
          </a:extLst>
        </xdr:cNvPr>
        <xdr:cNvSpPr/>
      </xdr:nvSpPr>
      <xdr:spPr>
        <a:xfrm>
          <a:off x="2185930" y="1114387"/>
          <a:ext cx="2665062" cy="7071758"/>
        </a:xfrm>
        <a:prstGeom prst="rect">
          <a:avLst/>
        </a:prstGeom>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editAs="oneCell">
    <xdr:from>
      <xdr:col>2</xdr:col>
      <xdr:colOff>533400</xdr:colOff>
      <xdr:row>9</xdr:row>
      <xdr:rowOff>145209</xdr:rowOff>
    </xdr:from>
    <xdr:to>
      <xdr:col>5</xdr:col>
      <xdr:colOff>698500</xdr:colOff>
      <xdr:row>19</xdr:row>
      <xdr:rowOff>145207</xdr:rowOff>
    </xdr:to>
    <mc:AlternateContent xmlns:mc="http://schemas.openxmlformats.org/markup-compatibility/2006" xmlns:a14="http://schemas.microsoft.com/office/drawing/2010/main">
      <mc:Choice Requires="a14">
        <xdr:graphicFrame macro="">
          <xdr:nvGraphicFramePr>
            <xdr:cNvPr id="2" name="Department 4">
              <a:extLst>
                <a:ext uri="{FF2B5EF4-FFF2-40B4-BE49-F238E27FC236}">
                  <a16:creationId xmlns:a16="http://schemas.microsoft.com/office/drawing/2014/main" id="{F33AA33A-A692-7945-B9AE-11A2EE4D941D}"/>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2185930" y="1797739"/>
              <a:ext cx="2643895" cy="1836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483843</xdr:colOff>
      <xdr:row>31</xdr:row>
      <xdr:rowOff>130476</xdr:rowOff>
    </xdr:from>
    <xdr:to>
      <xdr:col>5</xdr:col>
      <xdr:colOff>687043</xdr:colOff>
      <xdr:row>41</xdr:row>
      <xdr:rowOff>85612</xdr:rowOff>
    </xdr:to>
    <mc:AlternateContent xmlns:mc="http://schemas.openxmlformats.org/markup-compatibility/2006" xmlns:a14="http://schemas.microsoft.com/office/drawing/2010/main">
      <mc:Choice Requires="a14">
        <xdr:graphicFrame macro="">
          <xdr:nvGraphicFramePr>
            <xdr:cNvPr id="6" name="Reporting Manager 1">
              <a:extLst>
                <a:ext uri="{FF2B5EF4-FFF2-40B4-BE49-F238E27FC236}">
                  <a16:creationId xmlns:a16="http://schemas.microsoft.com/office/drawing/2014/main" id="{3711E2EC-369B-AD43-9186-775699A08040}"/>
                </a:ext>
              </a:extLst>
            </xdr:cNvPr>
            <xdr:cNvGraphicFramePr/>
          </xdr:nvGraphicFramePr>
          <xdr:xfrm>
            <a:off x="0" y="0"/>
            <a:ext cx="0" cy="0"/>
          </xdr:xfrm>
          <a:graphic>
            <a:graphicData uri="http://schemas.microsoft.com/office/drawing/2010/slicer">
              <sle:slicer xmlns:sle="http://schemas.microsoft.com/office/drawing/2010/slicer" name="Reporting Manager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2136373" y="5822524"/>
              <a:ext cx="2681995" cy="17912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736410</xdr:colOff>
      <xdr:row>0</xdr:row>
      <xdr:rowOff>31845</xdr:rowOff>
    </xdr:from>
    <xdr:to>
      <xdr:col>23</xdr:col>
      <xdr:colOff>311159</xdr:colOff>
      <xdr:row>5</xdr:row>
      <xdr:rowOff>133445</xdr:rowOff>
    </xdr:to>
    <xdr:sp macro="" textlink="">
      <xdr:nvSpPr>
        <xdr:cNvPr id="7" name="Rectangle 6">
          <a:extLst>
            <a:ext uri="{FF2B5EF4-FFF2-40B4-BE49-F238E27FC236}">
              <a16:creationId xmlns:a16="http://schemas.microsoft.com/office/drawing/2014/main" id="{6539E6C6-7B19-DE4E-9963-1D3835BE4CE7}"/>
            </a:ext>
          </a:extLst>
        </xdr:cNvPr>
        <xdr:cNvSpPr/>
      </xdr:nvSpPr>
      <xdr:spPr>
        <a:xfrm>
          <a:off x="4867735" y="31845"/>
          <a:ext cx="14447520" cy="1019672"/>
        </a:xfrm>
        <a:prstGeom prst="rect">
          <a:avLst/>
        </a:prstGeom>
        <a:effectLst>
          <a:glow rad="1397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oneCellAnchor>
    <xdr:from>
      <xdr:col>7</xdr:col>
      <xdr:colOff>398060</xdr:colOff>
      <xdr:row>1</xdr:row>
      <xdr:rowOff>132687</xdr:rowOff>
    </xdr:from>
    <xdr:ext cx="9055100" cy="1036949"/>
    <xdr:sp macro="" textlink="">
      <xdr:nvSpPr>
        <xdr:cNvPr id="10" name="TextBox 9">
          <a:extLst>
            <a:ext uri="{FF2B5EF4-FFF2-40B4-BE49-F238E27FC236}">
              <a16:creationId xmlns:a16="http://schemas.microsoft.com/office/drawing/2014/main" id="{2086E7BD-20AA-B246-972A-5EF89FBAC518}"/>
            </a:ext>
          </a:extLst>
        </xdr:cNvPr>
        <xdr:cNvSpPr txBox="1"/>
      </xdr:nvSpPr>
      <xdr:spPr>
        <a:xfrm>
          <a:off x="6236269" y="322239"/>
          <a:ext cx="9055100" cy="1036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GB" sz="3600">
              <a:solidFill>
                <a:schemeClr val="bg1">
                  <a:lumMod val="85%"/>
                </a:schemeClr>
              </a:solidFill>
            </a:rPr>
            <a:t>                            </a:t>
          </a:r>
          <a:r>
            <a:rPr lang="en-GB" sz="4400" b="1">
              <a:solidFill>
                <a:schemeClr val="bg1">
                  <a:lumMod val="85%"/>
                </a:schemeClr>
              </a:solidFill>
            </a:rPr>
            <a:t>HR</a:t>
          </a:r>
          <a:r>
            <a:rPr lang="en-GB" sz="4400" b="1" baseline="0%">
              <a:solidFill>
                <a:schemeClr val="bg1">
                  <a:lumMod val="85%"/>
                </a:schemeClr>
              </a:solidFill>
            </a:rPr>
            <a:t> ANALYTICS DASHBOARD</a:t>
          </a:r>
          <a:endParaRPr lang="en-GB" sz="4400" b="1">
            <a:solidFill>
              <a:schemeClr val="bg1">
                <a:lumMod val="85%"/>
              </a:schemeClr>
            </a:solidFill>
          </a:endParaRPr>
        </a:p>
      </xdr:txBody>
    </xdr:sp>
    <xdr:clientData/>
  </xdr:oneCellAnchor>
  <xdr:twoCellAnchor editAs="oneCell">
    <xdr:from>
      <xdr:col>18</xdr:col>
      <xdr:colOff>473881</xdr:colOff>
      <xdr:row>1</xdr:row>
      <xdr:rowOff>0</xdr:rowOff>
    </xdr:from>
    <xdr:to>
      <xdr:col>19</xdr:col>
      <xdr:colOff>554251</xdr:colOff>
      <xdr:row>5</xdr:row>
      <xdr:rowOff>139257</xdr:rowOff>
    </xdr:to>
    <xdr:pic>
      <xdr:nvPicPr>
        <xdr:cNvPr id="11" name="Graphic 10" descr="Clipboard with solid fill">
          <a:extLst>
            <a:ext uri="{FF2B5EF4-FFF2-40B4-BE49-F238E27FC236}">
              <a16:creationId xmlns:a16="http://schemas.microsoft.com/office/drawing/2014/main" id="{846A9733-B274-034D-8F48-03F8C73C0544}"/>
            </a:ext>
          </a:extLst>
        </xdr:cNvPr>
        <xdr:cNvPicPr>
          <a:picLocks noChangeAspect="1"/>
        </xdr:cNvPicPr>
      </xdr:nvPicPr>
      <xdr:blipFill>
        <a:blip xmlns:r="http://purl.oclc.org/ooxml/officeDocument/relationships" r:embed="rId2">
          <a:extLst>
            <a:ext uri="{96DAC541-7B7A-43D3-8B79-37D633B846F1}">
              <asvg:svgBlip xmlns:asvg="http://schemas.microsoft.com/office/drawing/2016/SVG/main" r:embed="rId3"/>
            </a:ext>
          </a:extLst>
        </a:blip>
        <a:stretch>
          <a:fillRect/>
        </a:stretch>
      </xdr:blipFill>
      <xdr:spPr>
        <a:xfrm>
          <a:off x="15486418" y="189552"/>
          <a:ext cx="914400" cy="897466"/>
        </a:xfrm>
        <a:prstGeom prst="rect">
          <a:avLst/>
        </a:prstGeom>
        <a:effectLst>
          <a:glow rad="63500">
            <a:schemeClr val="accent1">
              <a:satMod val="175%"/>
              <a:alpha val="40%"/>
            </a:schemeClr>
          </a:glow>
        </a:effectLst>
      </xdr:spPr>
    </xdr:pic>
    <xdr:clientData/>
  </xdr:twoCellAnchor>
  <xdr:twoCellAnchor editAs="oneCell">
    <xdr:from>
      <xdr:col>19</xdr:col>
      <xdr:colOff>815075</xdr:colOff>
      <xdr:row>1</xdr:row>
      <xdr:rowOff>0</xdr:rowOff>
    </xdr:from>
    <xdr:to>
      <xdr:col>21</xdr:col>
      <xdr:colOff>69882</xdr:colOff>
      <xdr:row>5</xdr:row>
      <xdr:rowOff>139257</xdr:rowOff>
    </xdr:to>
    <xdr:pic>
      <xdr:nvPicPr>
        <xdr:cNvPr id="12" name="Graphic 11" descr="Blockchain with solid fill">
          <a:extLst>
            <a:ext uri="{FF2B5EF4-FFF2-40B4-BE49-F238E27FC236}">
              <a16:creationId xmlns:a16="http://schemas.microsoft.com/office/drawing/2014/main" id="{EB5E1D03-A4CB-F343-B73C-FC7ACD0E493A}"/>
            </a:ext>
          </a:extLst>
        </xdr:cNvPr>
        <xdr:cNvPicPr>
          <a:picLocks noChangeAspect="1"/>
        </xdr:cNvPicPr>
      </xdr:nvPicPr>
      <xdr:blipFill>
        <a:blip xmlns:r="http://purl.oclc.org/ooxml/officeDocument/relationships" r:embed="rId4">
          <a:extLst>
            <a:ext uri="{96DAC541-7B7A-43D3-8B79-37D633B846F1}">
              <asvg:svgBlip xmlns:asvg="http://schemas.microsoft.com/office/drawing/2016/SVG/main" r:embed="rId5"/>
            </a:ext>
          </a:extLst>
        </a:blip>
        <a:stretch>
          <a:fillRect/>
        </a:stretch>
      </xdr:blipFill>
      <xdr:spPr>
        <a:xfrm>
          <a:off x="16661642" y="189552"/>
          <a:ext cx="922867" cy="897466"/>
        </a:xfrm>
        <a:prstGeom prst="rect">
          <a:avLst/>
        </a:prstGeom>
        <a:effectLst>
          <a:glow rad="101600">
            <a:schemeClr val="accent1">
              <a:satMod val="175%"/>
              <a:alpha val="40%"/>
            </a:schemeClr>
          </a:glow>
        </a:effectLst>
      </xdr:spPr>
    </xdr:pic>
    <xdr:clientData/>
  </xdr:twoCellAnchor>
  <xdr:twoCellAnchor>
    <xdr:from>
      <xdr:col>6</xdr:col>
      <xdr:colOff>61206</xdr:colOff>
      <xdr:row>12</xdr:row>
      <xdr:rowOff>122411</xdr:rowOff>
    </xdr:from>
    <xdr:to>
      <xdr:col>11</xdr:col>
      <xdr:colOff>44680</xdr:colOff>
      <xdr:row>28</xdr:row>
      <xdr:rowOff>48771</xdr:rowOff>
    </xdr:to>
    <xdr:grpSp>
      <xdr:nvGrpSpPr>
        <xdr:cNvPr id="46" name="Group 45">
          <a:extLst>
            <a:ext uri="{FF2B5EF4-FFF2-40B4-BE49-F238E27FC236}">
              <a16:creationId xmlns:a16="http://schemas.microsoft.com/office/drawing/2014/main" id="{6FB3CA9A-0F84-D4AA-285B-9716701E3CD6}"/>
            </a:ext>
          </a:extLst>
        </xdr:cNvPr>
        <xdr:cNvGrpSpPr/>
      </xdr:nvGrpSpPr>
      <xdr:grpSpPr>
        <a:xfrm>
          <a:off x="5018796" y="2325784"/>
          <a:ext cx="4114800" cy="2864192"/>
          <a:chOff x="5003494" y="2233977"/>
          <a:chExt cx="4114800" cy="2864192"/>
        </a:xfrm>
      </xdr:grpSpPr>
      <xdr:sp macro="" textlink="">
        <xdr:nvSpPr>
          <xdr:cNvPr id="23" name="Rectangle 22">
            <a:extLst>
              <a:ext uri="{FF2B5EF4-FFF2-40B4-BE49-F238E27FC236}">
                <a16:creationId xmlns:a16="http://schemas.microsoft.com/office/drawing/2014/main" id="{D9C2D1C9-05ED-5D92-FB70-0B7B7CD05899}"/>
              </a:ext>
            </a:extLst>
          </xdr:cNvPr>
          <xdr:cNvSpPr/>
        </xdr:nvSpPr>
        <xdr:spPr>
          <a:xfrm>
            <a:off x="5003494" y="2233977"/>
            <a:ext cx="4114800" cy="2785533"/>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graphicFrame macro="">
        <xdr:nvGraphicFramePr>
          <xdr:cNvPr id="24" name="Chart 23">
            <a:extLst>
              <a:ext uri="{FF2B5EF4-FFF2-40B4-BE49-F238E27FC236}">
                <a16:creationId xmlns:a16="http://schemas.microsoft.com/office/drawing/2014/main" id="{ED29B128-0178-12EE-F5DD-B97F1EEE53CA}"/>
              </a:ext>
            </a:extLst>
          </xdr:cNvPr>
          <xdr:cNvGraphicFramePr>
            <a:graphicFrameLocks/>
          </xdr:cNvGraphicFramePr>
        </xdr:nvGraphicFramePr>
        <xdr:xfrm>
          <a:off x="5094440" y="2640376"/>
          <a:ext cx="3998454" cy="2457793"/>
        </xdr:xfrm>
        <a:graphic>
          <a:graphicData uri="http://purl.oclc.org/ooxml/drawingml/chart">
            <c:chart xmlns:c="http://purl.oclc.org/ooxml/drawingml/chart" xmlns:r="http://purl.oclc.org/ooxml/officeDocument/relationships" r:id="rId6"/>
          </a:graphicData>
        </a:graphic>
      </xdr:graphicFrame>
      <xdr:sp macro="" textlink="">
        <xdr:nvSpPr>
          <xdr:cNvPr id="25" name="TextBox 24">
            <a:extLst>
              <a:ext uri="{FF2B5EF4-FFF2-40B4-BE49-F238E27FC236}">
                <a16:creationId xmlns:a16="http://schemas.microsoft.com/office/drawing/2014/main" id="{304F047B-D97F-3E1B-BCCF-73599CC7B9A0}"/>
              </a:ext>
            </a:extLst>
          </xdr:cNvPr>
          <xdr:cNvSpPr txBox="1"/>
        </xdr:nvSpPr>
        <xdr:spPr>
          <a:xfrm>
            <a:off x="5655428" y="2403311"/>
            <a:ext cx="279399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HEAD COUNT  GROWTH</a:t>
            </a:r>
          </a:p>
        </xdr:txBody>
      </xdr:sp>
    </xdr:grpSp>
    <xdr:clientData/>
  </xdr:twoCellAnchor>
  <xdr:twoCellAnchor>
    <xdr:from>
      <xdr:col>11</xdr:col>
      <xdr:colOff>315014</xdr:colOff>
      <xdr:row>12</xdr:row>
      <xdr:rowOff>103568</xdr:rowOff>
    </xdr:from>
    <xdr:to>
      <xdr:col>16</xdr:col>
      <xdr:colOff>74122</xdr:colOff>
      <xdr:row>27</xdr:row>
      <xdr:rowOff>143351</xdr:rowOff>
    </xdr:to>
    <xdr:sp macro="" textlink="">
      <xdr:nvSpPr>
        <xdr:cNvPr id="27" name="Rectangle 26">
          <a:extLst>
            <a:ext uri="{FF2B5EF4-FFF2-40B4-BE49-F238E27FC236}">
              <a16:creationId xmlns:a16="http://schemas.microsoft.com/office/drawing/2014/main" id="{A2360691-BFBD-4387-1006-9817047ED93B}"/>
            </a:ext>
          </a:extLst>
        </xdr:cNvPr>
        <xdr:cNvSpPr/>
      </xdr:nvSpPr>
      <xdr:spPr>
        <a:xfrm>
          <a:off x="9403930" y="2306941"/>
          <a:ext cx="3890433" cy="27940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10</xdr:col>
      <xdr:colOff>428434</xdr:colOff>
      <xdr:row>10</xdr:row>
      <xdr:rowOff>76505</xdr:rowOff>
    </xdr:from>
    <xdr:to>
      <xdr:col>13</xdr:col>
      <xdr:colOff>90752</xdr:colOff>
      <xdr:row>21</xdr:row>
      <xdr:rowOff>129577</xdr:rowOff>
    </xdr:to>
    <xdr:pic>
      <xdr:nvPicPr>
        <xdr:cNvPr id="28" name="Picture 27">
          <a:extLst>
            <a:ext uri="{FF2B5EF4-FFF2-40B4-BE49-F238E27FC236}">
              <a16:creationId xmlns:a16="http://schemas.microsoft.com/office/drawing/2014/main" id="{F6F3F815-E6CA-6910-17D0-DF38BC5836C4}"/>
            </a:ext>
          </a:extLst>
        </xdr:cNvPr>
        <xdr:cNvPicPr>
          <a:picLocks noChangeAspect="1"/>
        </xdr:cNvPicPr>
      </xdr:nvPicPr>
      <xdr:blipFill>
        <a:blip xmlns:r="http://purl.oclc.org/ooxml/officeDocument/relationships" r:embed="rId7">
          <a:extLst>
            <a:ext uri="{BEBA8EAE-BF5A-486C-A8C5-ECC9F3942E4B}">
              <a14:imgProps xmlns:a14="http://schemas.microsoft.com/office/drawing/2010/main">
                <a14:imgLayer r:embed="rId8">
                  <a14:imgEffect>
                    <a14:backgroundRemoval t="10%" b="90%" l="10%" r="90%">
                      <a14:backgroundMark x1="32.778%" y1="3.889%" x2="30.833%" y2="97.5%"/>
                      <a14:backgroundMark x1="30.833%" y1="97.5%" x2="28.889%" y2="99.444%"/>
                    </a14:backgroundRemoval>
                  </a14:imgEffect>
                </a14:imgLayer>
              </a14:imgProps>
            </a:ext>
          </a:extLst>
        </a:blip>
        <a:stretch>
          <a:fillRect/>
        </a:stretch>
      </xdr:blipFill>
      <xdr:spPr>
        <a:xfrm>
          <a:off x="8691085" y="1912650"/>
          <a:ext cx="2141113" cy="2072831"/>
        </a:xfrm>
        <a:prstGeom prst="rect">
          <a:avLst/>
        </a:prstGeom>
        <a:ln>
          <a:noFill/>
        </a:ln>
      </xdr:spPr>
    </xdr:pic>
    <xdr:clientData/>
  </xdr:twoCellAnchor>
  <xdr:twoCellAnchor>
    <xdr:from>
      <xdr:col>13</xdr:col>
      <xdr:colOff>753750</xdr:colOff>
      <xdr:row>12</xdr:row>
      <xdr:rowOff>154369</xdr:rowOff>
    </xdr:from>
    <xdr:to>
      <xdr:col>15</xdr:col>
      <xdr:colOff>811486</xdr:colOff>
      <xdr:row>15</xdr:row>
      <xdr:rowOff>8829</xdr:rowOff>
    </xdr:to>
    <xdr:sp macro="" textlink="">
      <xdr:nvSpPr>
        <xdr:cNvPr id="29" name="TextBox 28">
          <a:extLst>
            <a:ext uri="{FF2B5EF4-FFF2-40B4-BE49-F238E27FC236}">
              <a16:creationId xmlns:a16="http://schemas.microsoft.com/office/drawing/2014/main" id="{72087431-8F41-DCEC-C19E-31B586CA050C}"/>
            </a:ext>
          </a:extLst>
        </xdr:cNvPr>
        <xdr:cNvSpPr txBox="1"/>
      </xdr:nvSpPr>
      <xdr:spPr>
        <a:xfrm>
          <a:off x="11495196" y="2357742"/>
          <a:ext cx="1710266" cy="405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000" b="1"/>
            <a:t>DIVERSITY %</a:t>
          </a:r>
        </a:p>
      </xdr:txBody>
    </xdr:sp>
    <xdr:clientData/>
  </xdr:twoCellAnchor>
  <xdr:twoCellAnchor>
    <xdr:from>
      <xdr:col>10</xdr:col>
      <xdr:colOff>592199</xdr:colOff>
      <xdr:row>13</xdr:row>
      <xdr:rowOff>64827</xdr:rowOff>
    </xdr:from>
    <xdr:to>
      <xdr:col>16</xdr:col>
      <xdr:colOff>227998</xdr:colOff>
      <xdr:row>28</xdr:row>
      <xdr:rowOff>8259</xdr:rowOff>
    </xdr:to>
    <xdr:graphicFrame macro="">
      <xdr:nvGraphicFramePr>
        <xdr:cNvPr id="30" name="Chart 29">
          <a:extLst>
            <a:ext uri="{FF2B5EF4-FFF2-40B4-BE49-F238E27FC236}">
              <a16:creationId xmlns:a16="http://schemas.microsoft.com/office/drawing/2014/main" id="{8C4E1D8E-1D3A-A5E2-78D4-592CD87AB27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9"/>
        </a:graphicData>
      </a:graphic>
    </xdr:graphicFrame>
    <xdr:clientData/>
  </xdr:twoCellAnchor>
  <xdr:twoCellAnchor>
    <xdr:from>
      <xdr:col>16</xdr:col>
      <xdr:colOff>321325</xdr:colOff>
      <xdr:row>12</xdr:row>
      <xdr:rowOff>76508</xdr:rowOff>
    </xdr:from>
    <xdr:to>
      <xdr:col>23</xdr:col>
      <xdr:colOff>298190</xdr:colOff>
      <xdr:row>28</xdr:row>
      <xdr:rowOff>18305</xdr:rowOff>
    </xdr:to>
    <xdr:grpSp>
      <xdr:nvGrpSpPr>
        <xdr:cNvPr id="48" name="Group 47">
          <a:extLst>
            <a:ext uri="{FF2B5EF4-FFF2-40B4-BE49-F238E27FC236}">
              <a16:creationId xmlns:a16="http://schemas.microsoft.com/office/drawing/2014/main" id="{AB5EA395-EC38-B7A1-5C5C-143FCD9C989A}"/>
            </a:ext>
          </a:extLst>
        </xdr:cNvPr>
        <xdr:cNvGrpSpPr/>
      </xdr:nvGrpSpPr>
      <xdr:grpSpPr>
        <a:xfrm>
          <a:off x="13541566" y="2279881"/>
          <a:ext cx="5760720" cy="2879629"/>
          <a:chOff x="13602771" y="2203373"/>
          <a:chExt cx="5661446" cy="2879629"/>
        </a:xfrm>
      </xdr:grpSpPr>
      <xdr:sp macro="" textlink="">
        <xdr:nvSpPr>
          <xdr:cNvPr id="39" name="Rectangle 38">
            <a:extLst>
              <a:ext uri="{FF2B5EF4-FFF2-40B4-BE49-F238E27FC236}">
                <a16:creationId xmlns:a16="http://schemas.microsoft.com/office/drawing/2014/main" id="{C872C545-3676-9204-54B5-BE3CF151E05D}"/>
              </a:ext>
            </a:extLst>
          </xdr:cNvPr>
          <xdr:cNvSpPr/>
        </xdr:nvSpPr>
        <xdr:spPr>
          <a:xfrm>
            <a:off x="13602771" y="2203373"/>
            <a:ext cx="5661446" cy="2777718"/>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EC7E13B8-638B-1BA1-A2A1-84CFF91A1B45}"/>
                  </a:ext>
                </a:extLst>
              </xdr:cNvPr>
              <xdr:cNvGraphicFramePr/>
            </xdr:nvGraphicFramePr>
            <xdr:xfrm>
              <a:off x="13673215" y="2554290"/>
              <a:ext cx="4362276" cy="2528712"/>
            </xdr:xfrm>
            <a:graphic>
              <a:graphicData uri="http://schemas.microsoft.com/office/drawing/2014/chartex">
                <cx:chart xmlns:cx="http://schemas.microsoft.com/office/drawing/2014/chartex" xmlns:r="http://purl.oclc.org/ooxml/officeDocument/relationships" r:id="rId10"/>
              </a:graphicData>
            </a:graphic>
          </xdr:graphicFrame>
        </mc:Choice>
        <mc:Fallback>
          <xdr:sp macro="" textlink="">
            <xdr:nvSpPr>
              <xdr:cNvPr id="0" name=""/>
              <xdr:cNvSpPr>
                <a:spLocks noTextEdit="1"/>
              </xdr:cNvSpPr>
            </xdr:nvSpPr>
            <xdr:spPr>
              <a:xfrm>
                <a:off x="13673215" y="2554290"/>
                <a:ext cx="4362276" cy="252871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sp macro="" textlink="">
        <xdr:nvSpPr>
          <xdr:cNvPr id="41" name="TextBox 40">
            <a:extLst>
              <a:ext uri="{FF2B5EF4-FFF2-40B4-BE49-F238E27FC236}">
                <a16:creationId xmlns:a16="http://schemas.microsoft.com/office/drawing/2014/main" id="{36739D74-F597-DF3F-B4C9-BE56AC8B97D7}"/>
              </a:ext>
            </a:extLst>
          </xdr:cNvPr>
          <xdr:cNvSpPr txBox="1"/>
        </xdr:nvSpPr>
        <xdr:spPr>
          <a:xfrm>
            <a:off x="17488965" y="2442714"/>
            <a:ext cx="1428468" cy="405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2000" b="1"/>
              <a:t>JOB LEVEL%</a:t>
            </a:r>
          </a:p>
        </xdr:txBody>
      </xdr:sp>
    </xdr:grpSp>
    <xdr:clientData/>
  </xdr:twoCellAnchor>
  <xdr:twoCellAnchor>
    <xdr:from>
      <xdr:col>5</xdr:col>
      <xdr:colOff>489638</xdr:colOff>
      <xdr:row>29</xdr:row>
      <xdr:rowOff>61204</xdr:rowOff>
    </xdr:from>
    <xdr:to>
      <xdr:col>11</xdr:col>
      <xdr:colOff>120585</xdr:colOff>
      <xdr:row>46</xdr:row>
      <xdr:rowOff>35877</xdr:rowOff>
    </xdr:to>
    <xdr:grpSp>
      <xdr:nvGrpSpPr>
        <xdr:cNvPr id="42" name="Group 41">
          <a:extLst>
            <a:ext uri="{FF2B5EF4-FFF2-40B4-BE49-F238E27FC236}">
              <a16:creationId xmlns:a16="http://schemas.microsoft.com/office/drawing/2014/main" id="{AC20ADA5-A8C6-F74A-A0A1-F7C79DD02DEB}"/>
            </a:ext>
          </a:extLst>
        </xdr:cNvPr>
        <xdr:cNvGrpSpPr/>
      </xdr:nvGrpSpPr>
      <xdr:grpSpPr>
        <a:xfrm>
          <a:off x="4620963" y="5386023"/>
          <a:ext cx="4588538" cy="3096119"/>
          <a:chOff x="2648357" y="5408083"/>
          <a:chExt cx="4588538" cy="3096119"/>
        </a:xfrm>
      </xdr:grpSpPr>
      <xdr:sp macro="" textlink="">
        <xdr:nvSpPr>
          <xdr:cNvPr id="43" name="Rectangle 42">
            <a:extLst>
              <a:ext uri="{FF2B5EF4-FFF2-40B4-BE49-F238E27FC236}">
                <a16:creationId xmlns:a16="http://schemas.microsoft.com/office/drawing/2014/main" id="{3A1C44F3-2E60-E6C7-164B-203FE4D3C1A3}"/>
              </a:ext>
            </a:extLst>
          </xdr:cNvPr>
          <xdr:cNvSpPr/>
        </xdr:nvSpPr>
        <xdr:spPr>
          <a:xfrm>
            <a:off x="2992965" y="5408083"/>
            <a:ext cx="4178300" cy="2810329"/>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graphicFrame macro="">
        <xdr:nvGraphicFramePr>
          <xdr:cNvPr id="44" name="Chart 43">
            <a:extLst>
              <a:ext uri="{FF2B5EF4-FFF2-40B4-BE49-F238E27FC236}">
                <a16:creationId xmlns:a16="http://schemas.microsoft.com/office/drawing/2014/main" id="{C0E8F681-CA00-AEE1-42D4-5F11CB355388}"/>
              </a:ext>
            </a:extLst>
          </xdr:cNvPr>
          <xdr:cNvGraphicFramePr>
            <a:graphicFrameLocks/>
          </xdr:cNvGraphicFramePr>
        </xdr:nvGraphicFramePr>
        <xdr:xfrm>
          <a:off x="2648357" y="5840943"/>
          <a:ext cx="4588538" cy="2663259"/>
        </xdr:xfrm>
        <a:graphic>
          <a:graphicData uri="http://purl.oclc.org/ooxml/drawingml/chart">
            <c:chart xmlns:c="http://purl.oclc.org/ooxml/drawingml/chart" xmlns:r="http://purl.oclc.org/ooxml/officeDocument/relationships" r:id="rId11"/>
          </a:graphicData>
        </a:graphic>
      </xdr:graphicFrame>
      <xdr:sp macro="" textlink="">
        <xdr:nvSpPr>
          <xdr:cNvPr id="45" name="TextBox 44">
            <a:extLst>
              <a:ext uri="{FF2B5EF4-FFF2-40B4-BE49-F238E27FC236}">
                <a16:creationId xmlns:a16="http://schemas.microsoft.com/office/drawing/2014/main" id="{CADB749D-63D4-2670-7CB0-A71F127C3979}"/>
              </a:ext>
            </a:extLst>
          </xdr:cNvPr>
          <xdr:cNvSpPr txBox="1"/>
        </xdr:nvSpPr>
        <xdr:spPr>
          <a:xfrm>
            <a:off x="4013003" y="5519872"/>
            <a:ext cx="162788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b="1"/>
              <a:t>DEPT BY HC%</a:t>
            </a:r>
          </a:p>
        </xdr:txBody>
      </xdr:sp>
    </xdr:grpSp>
    <xdr:clientData/>
  </xdr:twoCellAnchor>
  <xdr:twoCellAnchor>
    <xdr:from>
      <xdr:col>11</xdr:col>
      <xdr:colOff>275419</xdr:colOff>
      <xdr:row>29</xdr:row>
      <xdr:rowOff>61205</xdr:rowOff>
    </xdr:from>
    <xdr:to>
      <xdr:col>16</xdr:col>
      <xdr:colOff>47227</xdr:colOff>
      <xdr:row>44</xdr:row>
      <xdr:rowOff>126979</xdr:rowOff>
    </xdr:to>
    <xdr:grpSp>
      <xdr:nvGrpSpPr>
        <xdr:cNvPr id="53" name="Group 52">
          <a:extLst>
            <a:ext uri="{FF2B5EF4-FFF2-40B4-BE49-F238E27FC236}">
              <a16:creationId xmlns:a16="http://schemas.microsoft.com/office/drawing/2014/main" id="{270CC318-BCCF-104F-9A45-AC5279FF5E69}"/>
            </a:ext>
          </a:extLst>
        </xdr:cNvPr>
        <xdr:cNvGrpSpPr/>
      </xdr:nvGrpSpPr>
      <xdr:grpSpPr>
        <a:xfrm>
          <a:off x="9364335" y="5386024"/>
          <a:ext cx="3903133" cy="2819991"/>
          <a:chOff x="7369387" y="5401733"/>
          <a:chExt cx="3903133" cy="2819991"/>
        </a:xfrm>
      </xdr:grpSpPr>
      <xdr:sp macro="" textlink="">
        <xdr:nvSpPr>
          <xdr:cNvPr id="54" name="Rectangle 53">
            <a:extLst>
              <a:ext uri="{FF2B5EF4-FFF2-40B4-BE49-F238E27FC236}">
                <a16:creationId xmlns:a16="http://schemas.microsoft.com/office/drawing/2014/main" id="{166A08DF-1A15-35C6-F59B-647765336838}"/>
              </a:ext>
            </a:extLst>
          </xdr:cNvPr>
          <xdr:cNvSpPr/>
        </xdr:nvSpPr>
        <xdr:spPr>
          <a:xfrm>
            <a:off x="7369387" y="5401733"/>
            <a:ext cx="3903133" cy="280416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E446CCBB-269B-F6DF-82C1-1DF9C86E05E5}"/>
                  </a:ext>
                </a:extLst>
              </xdr:cNvPr>
              <xdr:cNvGraphicFramePr/>
            </xdr:nvGraphicFramePr>
            <xdr:xfrm>
              <a:off x="7376237" y="6019603"/>
              <a:ext cx="3806259" cy="2202121"/>
            </xdr:xfrm>
            <a:graphic>
              <a:graphicData uri="http://schemas.microsoft.com/office/drawing/2014/chartex">
                <cx:chart xmlns:cx="http://schemas.microsoft.com/office/drawing/2014/chartex" xmlns:r="http://purl.oclc.org/ooxml/officeDocument/relationships" r:id="rId12"/>
              </a:graphicData>
            </a:graphic>
          </xdr:graphicFrame>
        </mc:Choice>
        <mc:Fallback>
          <xdr:sp macro="" textlink="">
            <xdr:nvSpPr>
              <xdr:cNvPr id="0" name=""/>
              <xdr:cNvSpPr>
                <a:spLocks noTextEdit="1"/>
              </xdr:cNvSpPr>
            </xdr:nvSpPr>
            <xdr:spPr>
              <a:xfrm>
                <a:off x="7376237" y="6019603"/>
                <a:ext cx="3806259" cy="220212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sp macro="" textlink="">
        <xdr:nvSpPr>
          <xdr:cNvPr id="56" name="TextBox 55">
            <a:extLst>
              <a:ext uri="{FF2B5EF4-FFF2-40B4-BE49-F238E27FC236}">
                <a16:creationId xmlns:a16="http://schemas.microsoft.com/office/drawing/2014/main" id="{3E835B15-1C15-16D1-1D24-0B5DC75E6C2A}"/>
              </a:ext>
            </a:extLst>
          </xdr:cNvPr>
          <xdr:cNvSpPr txBox="1"/>
        </xdr:nvSpPr>
        <xdr:spPr>
          <a:xfrm>
            <a:off x="8673253" y="5564293"/>
            <a:ext cx="18086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2000" b="1"/>
              <a:t>HC REPORTING</a:t>
            </a:r>
          </a:p>
        </xdr:txBody>
      </xdr:sp>
    </xdr:grpSp>
    <xdr:clientData/>
  </xdr:twoCellAnchor>
  <xdr:twoCellAnchor>
    <xdr:from>
      <xdr:col>16</xdr:col>
      <xdr:colOff>275422</xdr:colOff>
      <xdr:row>29</xdr:row>
      <xdr:rowOff>45903</xdr:rowOff>
    </xdr:from>
    <xdr:to>
      <xdr:col>19</xdr:col>
      <xdr:colOff>505960</xdr:colOff>
      <xdr:row>44</xdr:row>
      <xdr:rowOff>116166</xdr:rowOff>
    </xdr:to>
    <xdr:grpSp>
      <xdr:nvGrpSpPr>
        <xdr:cNvPr id="57" name="Group 56">
          <a:extLst>
            <a:ext uri="{FF2B5EF4-FFF2-40B4-BE49-F238E27FC236}">
              <a16:creationId xmlns:a16="http://schemas.microsoft.com/office/drawing/2014/main" id="{6E5F3BED-F7CE-A44B-86EA-AC320035DDFF}"/>
            </a:ext>
          </a:extLst>
        </xdr:cNvPr>
        <xdr:cNvGrpSpPr/>
      </xdr:nvGrpSpPr>
      <xdr:grpSpPr>
        <a:xfrm>
          <a:off x="13495663" y="5370722"/>
          <a:ext cx="2709333" cy="2824480"/>
          <a:chOff x="11417300" y="5401733"/>
          <a:chExt cx="2709333" cy="2824480"/>
        </a:xfrm>
      </xdr:grpSpPr>
      <xdr:sp macro="" textlink="">
        <xdr:nvSpPr>
          <xdr:cNvPr id="58" name="Rectangle 57">
            <a:extLst>
              <a:ext uri="{FF2B5EF4-FFF2-40B4-BE49-F238E27FC236}">
                <a16:creationId xmlns:a16="http://schemas.microsoft.com/office/drawing/2014/main" id="{5B11873A-F8F8-A782-ADBC-786AD3D3C51B}"/>
              </a:ext>
            </a:extLst>
          </xdr:cNvPr>
          <xdr:cNvSpPr/>
        </xdr:nvSpPr>
        <xdr:spPr>
          <a:xfrm>
            <a:off x="11417300" y="5401733"/>
            <a:ext cx="2709333" cy="28194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graphicFrame macro="">
        <xdr:nvGraphicFramePr>
          <xdr:cNvPr id="59" name="Chart 58">
            <a:extLst>
              <a:ext uri="{FF2B5EF4-FFF2-40B4-BE49-F238E27FC236}">
                <a16:creationId xmlns:a16="http://schemas.microsoft.com/office/drawing/2014/main" id="{0181A15B-C585-C571-E7A1-3196C9AA13DC}"/>
              </a:ext>
            </a:extLst>
          </xdr:cNvPr>
          <xdr:cNvGraphicFramePr>
            <a:graphicFrameLocks/>
          </xdr:cNvGraphicFramePr>
        </xdr:nvGraphicFramePr>
        <xdr:xfrm>
          <a:off x="11470640" y="5835227"/>
          <a:ext cx="2516293" cy="2390986"/>
        </xdr:xfrm>
        <a:graphic>
          <a:graphicData uri="http://purl.oclc.org/ooxml/drawingml/chart">
            <c:chart xmlns:c="http://purl.oclc.org/ooxml/drawingml/chart" xmlns:r="http://purl.oclc.org/ooxml/officeDocument/relationships" r:id="rId13"/>
          </a:graphicData>
        </a:graphic>
      </xdr:graphicFrame>
      <xdr:sp macro="" textlink="">
        <xdr:nvSpPr>
          <xdr:cNvPr id="60" name="TextBox 59">
            <a:extLst>
              <a:ext uri="{FF2B5EF4-FFF2-40B4-BE49-F238E27FC236}">
                <a16:creationId xmlns:a16="http://schemas.microsoft.com/office/drawing/2014/main" id="{6AE900B9-3D01-6C5C-DDD8-BB9EC9EE84E1}"/>
              </a:ext>
            </a:extLst>
          </xdr:cNvPr>
          <xdr:cNvSpPr txBox="1"/>
        </xdr:nvSpPr>
        <xdr:spPr>
          <a:xfrm>
            <a:off x="12242799" y="5503333"/>
            <a:ext cx="121321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b="1"/>
              <a:t>EMP TYPE</a:t>
            </a:r>
          </a:p>
        </xdr:txBody>
      </xdr:sp>
    </xdr:grpSp>
    <xdr:clientData/>
  </xdr:twoCellAnchor>
  <xdr:twoCellAnchor>
    <xdr:from>
      <xdr:col>19</xdr:col>
      <xdr:colOff>657952</xdr:colOff>
      <xdr:row>29</xdr:row>
      <xdr:rowOff>30602</xdr:rowOff>
    </xdr:from>
    <xdr:to>
      <xdr:col>23</xdr:col>
      <xdr:colOff>307760</xdr:colOff>
      <xdr:row>44</xdr:row>
      <xdr:rowOff>95785</xdr:rowOff>
    </xdr:to>
    <xdr:grpSp>
      <xdr:nvGrpSpPr>
        <xdr:cNvPr id="61" name="Group 60">
          <a:extLst>
            <a:ext uri="{FF2B5EF4-FFF2-40B4-BE49-F238E27FC236}">
              <a16:creationId xmlns:a16="http://schemas.microsoft.com/office/drawing/2014/main" id="{AC26C173-3340-984F-AA7A-49E7A89D3C31}"/>
            </a:ext>
          </a:extLst>
        </xdr:cNvPr>
        <xdr:cNvGrpSpPr/>
      </xdr:nvGrpSpPr>
      <xdr:grpSpPr>
        <a:xfrm>
          <a:off x="16356988" y="5355421"/>
          <a:ext cx="2954868" cy="2819400"/>
          <a:chOff x="14223999" y="5414433"/>
          <a:chExt cx="2954868" cy="2819400"/>
        </a:xfrm>
      </xdr:grpSpPr>
      <xdr:sp macro="" textlink="">
        <xdr:nvSpPr>
          <xdr:cNvPr id="62" name="Rectangle 61">
            <a:extLst>
              <a:ext uri="{FF2B5EF4-FFF2-40B4-BE49-F238E27FC236}">
                <a16:creationId xmlns:a16="http://schemas.microsoft.com/office/drawing/2014/main" id="{D0BD08BA-1621-F795-5114-D5788D96FECE}"/>
              </a:ext>
            </a:extLst>
          </xdr:cNvPr>
          <xdr:cNvSpPr/>
        </xdr:nvSpPr>
        <xdr:spPr>
          <a:xfrm>
            <a:off x="14266333" y="5414433"/>
            <a:ext cx="2912534" cy="28194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sp macro="" textlink="">
        <xdr:nvSpPr>
          <xdr:cNvPr id="63" name="TextBox 62">
            <a:extLst>
              <a:ext uri="{FF2B5EF4-FFF2-40B4-BE49-F238E27FC236}">
                <a16:creationId xmlns:a16="http://schemas.microsoft.com/office/drawing/2014/main" id="{A3ADEBF2-9EFE-D271-DD43-ECAB387CBC4B}"/>
              </a:ext>
            </a:extLst>
          </xdr:cNvPr>
          <xdr:cNvSpPr txBox="1"/>
        </xdr:nvSpPr>
        <xdr:spPr>
          <a:xfrm>
            <a:off x="15426266" y="5469466"/>
            <a:ext cx="142385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b="1"/>
              <a:t>STABILITY%</a:t>
            </a:r>
          </a:p>
        </xdr:txBody>
      </xdr:sp>
      <xdr:graphicFrame macro="">
        <xdr:nvGraphicFramePr>
          <xdr:cNvPr id="64" name="Chart 63">
            <a:extLst>
              <a:ext uri="{FF2B5EF4-FFF2-40B4-BE49-F238E27FC236}">
                <a16:creationId xmlns:a16="http://schemas.microsoft.com/office/drawing/2014/main" id="{642D7B9B-3A14-FBFD-161F-2C01902A0427}"/>
              </a:ext>
            </a:extLst>
          </xdr:cNvPr>
          <xdr:cNvGraphicFramePr>
            <a:graphicFrameLocks/>
          </xdr:cNvGraphicFramePr>
        </xdr:nvGraphicFramePr>
        <xdr:xfrm>
          <a:off x="14223999" y="5791200"/>
          <a:ext cx="2929468" cy="2387598"/>
        </xdr:xfrm>
        <a:graphic>
          <a:graphicData uri="http://purl.oclc.org/ooxml/drawingml/chart">
            <c:chart xmlns:c="http://purl.oclc.org/ooxml/drawingml/chart" xmlns:r="http://purl.oclc.org/ooxml/officeDocument/relationships" r:id="rId14"/>
          </a:graphicData>
        </a:graphic>
      </xdr:graphicFrame>
    </xdr:grpSp>
    <xdr:clientData/>
  </xdr:twoCellAnchor>
  <xdr:twoCellAnchor>
    <xdr:from>
      <xdr:col>6</xdr:col>
      <xdr:colOff>76506</xdr:colOff>
      <xdr:row>6</xdr:row>
      <xdr:rowOff>15301</xdr:rowOff>
    </xdr:from>
    <xdr:to>
      <xdr:col>9</xdr:col>
      <xdr:colOff>268943</xdr:colOff>
      <xdr:row>11</xdr:row>
      <xdr:rowOff>176729</xdr:rowOff>
    </xdr:to>
    <xdr:grpSp>
      <xdr:nvGrpSpPr>
        <xdr:cNvPr id="65" name="Group 64">
          <a:extLst>
            <a:ext uri="{FF2B5EF4-FFF2-40B4-BE49-F238E27FC236}">
              <a16:creationId xmlns:a16="http://schemas.microsoft.com/office/drawing/2014/main" id="{EE70F055-7885-F745-ADFB-FA10DF8A18FA}"/>
            </a:ext>
          </a:extLst>
        </xdr:cNvPr>
        <xdr:cNvGrpSpPr/>
      </xdr:nvGrpSpPr>
      <xdr:grpSpPr>
        <a:xfrm>
          <a:off x="5034096" y="1116988"/>
          <a:ext cx="2671233" cy="1079500"/>
          <a:chOff x="3069167" y="1206500"/>
          <a:chExt cx="2671233" cy="1079500"/>
        </a:xfrm>
      </xdr:grpSpPr>
      <xdr:sp macro="" textlink="">
        <xdr:nvSpPr>
          <xdr:cNvPr id="66" name="Rectangle 65">
            <a:extLst>
              <a:ext uri="{FF2B5EF4-FFF2-40B4-BE49-F238E27FC236}">
                <a16:creationId xmlns:a16="http://schemas.microsoft.com/office/drawing/2014/main" id="{FB25D56D-2B98-15D9-3007-3317EBD9EF1E}"/>
              </a:ext>
            </a:extLst>
          </xdr:cNvPr>
          <xdr:cNvSpPr/>
        </xdr:nvSpPr>
        <xdr:spPr>
          <a:xfrm>
            <a:off x="3069167" y="1206500"/>
            <a:ext cx="2671233" cy="10795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100" baseline="0%"/>
              <a:t>                                   </a:t>
            </a:r>
          </a:p>
          <a:p>
            <a:pPr algn="l"/>
            <a:endParaRPr lang="en-GB" sz="1100" baseline="0%"/>
          </a:p>
          <a:p>
            <a:pPr algn="l"/>
            <a:endParaRPr lang="en-GB" sz="1100" baseline="0%"/>
          </a:p>
          <a:p>
            <a:pPr algn="l"/>
            <a:r>
              <a:rPr lang="en-GB" sz="1100" baseline="0%"/>
              <a:t>                                                </a:t>
            </a:r>
            <a:endParaRPr lang="en-GB" sz="1100"/>
          </a:p>
        </xdr:txBody>
      </xdr:sp>
      <xdr:pic>
        <xdr:nvPicPr>
          <xdr:cNvPr id="67" name="Graphic 66" descr="Children with solid fill">
            <a:extLst>
              <a:ext uri="{FF2B5EF4-FFF2-40B4-BE49-F238E27FC236}">
                <a16:creationId xmlns:a16="http://schemas.microsoft.com/office/drawing/2014/main" id="{380D0614-C2D3-A6A2-57E8-8E834D103D00}"/>
              </a:ext>
            </a:extLst>
          </xdr:cNvPr>
          <xdr:cNvPicPr>
            <a:picLocks noChangeAspect="1"/>
          </xdr:cNvPicPr>
        </xdr:nvPicPr>
        <xdr:blipFill>
          <a:blip xmlns:r="http://purl.oclc.org/ooxml/officeDocument/relationships" r:embed="rId15">
            <a:extLst>
              <a:ext uri="{96DAC541-7B7A-43D3-8B79-37D633B846F1}">
                <asvg:svgBlip xmlns:asvg="http://schemas.microsoft.com/office/drawing/2016/SVG/main" r:embed="rId16"/>
              </a:ext>
            </a:extLst>
          </a:blip>
          <a:stretch>
            <a:fillRect/>
          </a:stretch>
        </xdr:blipFill>
        <xdr:spPr>
          <a:xfrm>
            <a:off x="3344741" y="1371600"/>
            <a:ext cx="922866" cy="893233"/>
          </a:xfrm>
          <a:prstGeom prst="rect">
            <a:avLst/>
          </a:prstGeom>
          <a:effectLst>
            <a:glow rad="101600">
              <a:schemeClr val="accent2">
                <a:satMod val="175%"/>
                <a:alpha val="40%"/>
              </a:schemeClr>
            </a:glow>
          </a:effectLst>
        </xdr:spPr>
      </xdr:pic>
      <xdr:sp macro="" textlink="">
        <xdr:nvSpPr>
          <xdr:cNvPr id="68" name="TextBox 67">
            <a:extLst>
              <a:ext uri="{FF2B5EF4-FFF2-40B4-BE49-F238E27FC236}">
                <a16:creationId xmlns:a16="http://schemas.microsoft.com/office/drawing/2014/main" id="{620C3D20-5AD8-E645-E1EB-126D8B4EB952}"/>
              </a:ext>
            </a:extLst>
          </xdr:cNvPr>
          <xdr:cNvSpPr txBox="1"/>
        </xdr:nvSpPr>
        <xdr:spPr>
          <a:xfrm>
            <a:off x="4207933" y="1316567"/>
            <a:ext cx="12577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tx1"/>
                </a:solidFill>
              </a:rPr>
              <a:t>OVERALL</a:t>
            </a:r>
            <a:r>
              <a:rPr lang="en-GB" sz="1600" b="1" baseline="0%">
                <a:solidFill>
                  <a:schemeClr val="tx1"/>
                </a:solidFill>
              </a:rPr>
              <a:t> HC</a:t>
            </a:r>
            <a:endParaRPr lang="en-GB" sz="1600" b="1">
              <a:solidFill>
                <a:schemeClr val="tx1"/>
              </a:solidFill>
            </a:endParaRPr>
          </a:p>
        </xdr:txBody>
      </xdr:sp>
      <xdr:sp macro="" textlink="Sheet2!B14">
        <xdr:nvSpPr>
          <xdr:cNvPr id="69" name="TextBox 68">
            <a:extLst>
              <a:ext uri="{FF2B5EF4-FFF2-40B4-BE49-F238E27FC236}">
                <a16:creationId xmlns:a16="http://schemas.microsoft.com/office/drawing/2014/main" id="{F8C71E69-E444-6364-84E3-D02A9C347115}"/>
              </a:ext>
            </a:extLst>
          </xdr:cNvPr>
          <xdr:cNvSpPr txBox="1"/>
        </xdr:nvSpPr>
        <xdr:spPr>
          <a:xfrm>
            <a:off x="4652433" y="1752600"/>
            <a:ext cx="800100"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57316AF-D92D-A949-A78B-3D85581E0D24}" type="TxLink">
              <a:rPr lang="en-US" sz="2800" b="1" i="0" u="none" strike="noStrike">
                <a:solidFill>
                  <a:srgbClr val="000000"/>
                </a:solidFill>
                <a:latin typeface="Aptos Narrow"/>
              </a:rPr>
              <a:pPr algn="ctr"/>
              <a:t>18</a:t>
            </a:fld>
            <a:endParaRPr lang="en-GB" sz="2800" b="1">
              <a:solidFill>
                <a:schemeClr val="accent2">
                  <a:lumMod val="60%"/>
                  <a:lumOff val="40%"/>
                </a:schemeClr>
              </a:solidFill>
            </a:endParaRPr>
          </a:p>
        </xdr:txBody>
      </xdr:sp>
    </xdr:grpSp>
    <xdr:clientData/>
  </xdr:twoCellAnchor>
  <xdr:twoCellAnchor>
    <xdr:from>
      <xdr:col>9</xdr:col>
      <xdr:colOff>504939</xdr:colOff>
      <xdr:row>6</xdr:row>
      <xdr:rowOff>15301</xdr:rowOff>
    </xdr:from>
    <xdr:to>
      <xdr:col>12</xdr:col>
      <xdr:colOff>697377</xdr:colOff>
      <xdr:row>11</xdr:row>
      <xdr:rowOff>178221</xdr:rowOff>
    </xdr:to>
    <xdr:grpSp>
      <xdr:nvGrpSpPr>
        <xdr:cNvPr id="70" name="Group 69">
          <a:extLst>
            <a:ext uri="{FF2B5EF4-FFF2-40B4-BE49-F238E27FC236}">
              <a16:creationId xmlns:a16="http://schemas.microsoft.com/office/drawing/2014/main" id="{9C503619-B798-D844-8FEC-BFDFEDEC9916}"/>
            </a:ext>
          </a:extLst>
        </xdr:cNvPr>
        <xdr:cNvGrpSpPr/>
      </xdr:nvGrpSpPr>
      <xdr:grpSpPr>
        <a:xfrm>
          <a:off x="7941325" y="1116988"/>
          <a:ext cx="2671233" cy="1080992"/>
          <a:chOff x="5992284" y="1257299"/>
          <a:chExt cx="2671233" cy="1080992"/>
        </a:xfrm>
      </xdr:grpSpPr>
      <xdr:sp macro="" textlink="">
        <xdr:nvSpPr>
          <xdr:cNvPr id="71" name="Rectangle 70">
            <a:extLst>
              <a:ext uri="{FF2B5EF4-FFF2-40B4-BE49-F238E27FC236}">
                <a16:creationId xmlns:a16="http://schemas.microsoft.com/office/drawing/2014/main" id="{470C2833-2D61-9E25-7154-F25A75BF279F}"/>
              </a:ext>
            </a:extLst>
          </xdr:cNvPr>
          <xdr:cNvSpPr/>
        </xdr:nvSpPr>
        <xdr:spPr>
          <a:xfrm>
            <a:off x="5992284" y="1257299"/>
            <a:ext cx="2671233" cy="10795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pic>
        <xdr:nvPicPr>
          <xdr:cNvPr id="72" name="Graphic 71" descr="Customer review with solid fill">
            <a:extLst>
              <a:ext uri="{FF2B5EF4-FFF2-40B4-BE49-F238E27FC236}">
                <a16:creationId xmlns:a16="http://schemas.microsoft.com/office/drawing/2014/main" id="{4BA5940E-A5FB-C19B-1D60-E136079321A4}"/>
              </a:ext>
            </a:extLst>
          </xdr:cNvPr>
          <xdr:cNvPicPr>
            <a:picLocks noChangeAspect="1"/>
          </xdr:cNvPicPr>
        </xdr:nvPicPr>
        <xdr:blipFill>
          <a:blip xmlns:r="http://purl.oclc.org/ooxml/officeDocument/relationships" r:embed="rId17">
            <a:extLst>
              <a:ext uri="{96DAC541-7B7A-43D3-8B79-37D633B846F1}">
                <asvg:svgBlip xmlns:asvg="http://schemas.microsoft.com/office/drawing/2016/SVG/main" r:embed="rId18"/>
              </a:ext>
            </a:extLst>
          </a:blip>
          <a:stretch>
            <a:fillRect/>
          </a:stretch>
        </xdr:blipFill>
        <xdr:spPr>
          <a:xfrm>
            <a:off x="6163734" y="1346199"/>
            <a:ext cx="922867" cy="893233"/>
          </a:xfrm>
          <a:prstGeom prst="rect">
            <a:avLst/>
          </a:prstGeom>
          <a:effectLst>
            <a:glow rad="139700">
              <a:schemeClr val="accent6">
                <a:satMod val="175%"/>
                <a:alpha val="40%"/>
              </a:schemeClr>
            </a:glow>
          </a:effectLst>
        </xdr:spPr>
      </xdr:pic>
      <xdr:sp macro="" textlink="">
        <xdr:nvSpPr>
          <xdr:cNvPr id="73" name="TextBox 72">
            <a:extLst>
              <a:ext uri="{FF2B5EF4-FFF2-40B4-BE49-F238E27FC236}">
                <a16:creationId xmlns:a16="http://schemas.microsoft.com/office/drawing/2014/main" id="{10D7E492-1554-F867-7030-E7E4C9654567}"/>
              </a:ext>
            </a:extLst>
          </xdr:cNvPr>
          <xdr:cNvSpPr txBox="1"/>
        </xdr:nvSpPr>
        <xdr:spPr>
          <a:xfrm>
            <a:off x="7207251" y="1346199"/>
            <a:ext cx="1013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600" b="1">
                <a:solidFill>
                  <a:schemeClr val="tx1"/>
                </a:solidFill>
              </a:rPr>
              <a:t>Active</a:t>
            </a:r>
            <a:r>
              <a:rPr lang="en-GB" sz="1600" b="1" baseline="0%">
                <a:solidFill>
                  <a:schemeClr val="tx1"/>
                </a:solidFill>
              </a:rPr>
              <a:t> HC</a:t>
            </a:r>
            <a:endParaRPr lang="en-GB" sz="1600" b="1">
              <a:solidFill>
                <a:schemeClr val="tx1"/>
              </a:solidFill>
            </a:endParaRPr>
          </a:p>
        </xdr:txBody>
      </xdr:sp>
      <xdr:sp macro="" textlink="Sheet2!B15">
        <xdr:nvSpPr>
          <xdr:cNvPr id="74" name="TextBox 73">
            <a:extLst>
              <a:ext uri="{FF2B5EF4-FFF2-40B4-BE49-F238E27FC236}">
                <a16:creationId xmlns:a16="http://schemas.microsoft.com/office/drawing/2014/main" id="{4A6DCDF8-6C42-FE25-B16E-602C1A9397B6}"/>
              </a:ext>
            </a:extLst>
          </xdr:cNvPr>
          <xdr:cNvSpPr txBox="1"/>
        </xdr:nvSpPr>
        <xdr:spPr>
          <a:xfrm>
            <a:off x="7630553" y="1807633"/>
            <a:ext cx="54861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A951D782-E42F-C04B-B235-8F05FFF5543C}" type="TxLink">
              <a:rPr lang="en-US" sz="2800" b="1" i="0" u="none" strike="noStrike">
                <a:solidFill>
                  <a:srgbClr val="000000"/>
                </a:solidFill>
                <a:latin typeface="Aptos Narrow"/>
              </a:rPr>
              <a:pPr algn="ctr"/>
              <a:t>9</a:t>
            </a:fld>
            <a:endParaRPr lang="en-GB" sz="2800" b="1">
              <a:solidFill>
                <a:schemeClr val="accent3">
                  <a:lumMod val="60%"/>
                  <a:lumOff val="40%"/>
                </a:schemeClr>
              </a:solidFill>
            </a:endParaRPr>
          </a:p>
        </xdr:txBody>
      </xdr:sp>
    </xdr:grpSp>
    <xdr:clientData/>
  </xdr:twoCellAnchor>
  <xdr:twoCellAnchor>
    <xdr:from>
      <xdr:col>13</xdr:col>
      <xdr:colOff>122409</xdr:colOff>
      <xdr:row>6</xdr:row>
      <xdr:rowOff>15301</xdr:rowOff>
    </xdr:from>
    <xdr:to>
      <xdr:col>16</xdr:col>
      <xdr:colOff>306381</xdr:colOff>
      <xdr:row>11</xdr:row>
      <xdr:rowOff>182390</xdr:rowOff>
    </xdr:to>
    <xdr:grpSp>
      <xdr:nvGrpSpPr>
        <xdr:cNvPr id="75" name="Group 74">
          <a:extLst>
            <a:ext uri="{FF2B5EF4-FFF2-40B4-BE49-F238E27FC236}">
              <a16:creationId xmlns:a16="http://schemas.microsoft.com/office/drawing/2014/main" id="{7CED3CFC-0F70-6446-9982-7B7038738943}"/>
            </a:ext>
          </a:extLst>
        </xdr:cNvPr>
        <xdr:cNvGrpSpPr/>
      </xdr:nvGrpSpPr>
      <xdr:grpSpPr>
        <a:xfrm>
          <a:off x="10863855" y="1116988"/>
          <a:ext cx="2662767" cy="1085161"/>
          <a:chOff x="8792633" y="1206500"/>
          <a:chExt cx="2662767" cy="1085161"/>
        </a:xfrm>
      </xdr:grpSpPr>
      <xdr:sp macro="" textlink="">
        <xdr:nvSpPr>
          <xdr:cNvPr id="76" name="Rectangle 75">
            <a:extLst>
              <a:ext uri="{FF2B5EF4-FFF2-40B4-BE49-F238E27FC236}">
                <a16:creationId xmlns:a16="http://schemas.microsoft.com/office/drawing/2014/main" id="{9E7D0705-CD2F-114F-E699-6544463DE66A}"/>
              </a:ext>
            </a:extLst>
          </xdr:cNvPr>
          <xdr:cNvSpPr/>
        </xdr:nvSpPr>
        <xdr:spPr>
          <a:xfrm>
            <a:off x="8792633" y="1206500"/>
            <a:ext cx="2662767" cy="10795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pic>
        <xdr:nvPicPr>
          <xdr:cNvPr id="77" name="Graphic 76" descr="Business Growth with solid fill">
            <a:extLst>
              <a:ext uri="{FF2B5EF4-FFF2-40B4-BE49-F238E27FC236}">
                <a16:creationId xmlns:a16="http://schemas.microsoft.com/office/drawing/2014/main" id="{BC5796E8-0DFC-C9A8-CF7C-F4E636C75834}"/>
              </a:ext>
            </a:extLst>
          </xdr:cNvPr>
          <xdr:cNvPicPr>
            <a:picLocks noChangeAspect="1"/>
          </xdr:cNvPicPr>
        </xdr:nvPicPr>
        <xdr:blipFill>
          <a:blip xmlns:r="http://purl.oclc.org/ooxml/officeDocument/relationships" r:embed="rId19">
            <a:extLst>
              <a:ext uri="{96DAC541-7B7A-43D3-8B79-37D633B846F1}">
                <asvg:svgBlip xmlns:asvg="http://schemas.microsoft.com/office/drawing/2016/SVG/main" r:embed="rId20"/>
              </a:ext>
            </a:extLst>
          </a:blip>
          <a:stretch>
            <a:fillRect/>
          </a:stretch>
        </xdr:blipFill>
        <xdr:spPr>
          <a:xfrm>
            <a:off x="8906933" y="1270000"/>
            <a:ext cx="914400" cy="893233"/>
          </a:xfrm>
          <a:prstGeom prst="rect">
            <a:avLst/>
          </a:prstGeom>
          <a:effectLst>
            <a:glow rad="139700">
              <a:schemeClr val="accent1">
                <a:satMod val="175%"/>
                <a:alpha val="40%"/>
              </a:schemeClr>
            </a:glow>
          </a:effectLst>
        </xdr:spPr>
      </xdr:pic>
      <xdr:sp macro="" textlink="">
        <xdr:nvSpPr>
          <xdr:cNvPr id="78" name="TextBox 77">
            <a:extLst>
              <a:ext uri="{FF2B5EF4-FFF2-40B4-BE49-F238E27FC236}">
                <a16:creationId xmlns:a16="http://schemas.microsoft.com/office/drawing/2014/main" id="{A5D474AB-324F-13E0-3E9E-2335435A2562}"/>
              </a:ext>
            </a:extLst>
          </xdr:cNvPr>
          <xdr:cNvSpPr txBox="1"/>
        </xdr:nvSpPr>
        <xdr:spPr>
          <a:xfrm>
            <a:off x="9922933" y="1282700"/>
            <a:ext cx="88075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tx1"/>
                </a:solidFill>
              </a:rPr>
              <a:t>Attrition</a:t>
            </a:r>
          </a:p>
        </xdr:txBody>
      </xdr:sp>
      <xdr:sp macro="" textlink="Sheet2!B16">
        <xdr:nvSpPr>
          <xdr:cNvPr id="79" name="TextBox 78">
            <a:extLst>
              <a:ext uri="{FF2B5EF4-FFF2-40B4-BE49-F238E27FC236}">
                <a16:creationId xmlns:a16="http://schemas.microsoft.com/office/drawing/2014/main" id="{C81794D1-F133-5F3A-7520-2F6504351C0E}"/>
              </a:ext>
            </a:extLst>
          </xdr:cNvPr>
          <xdr:cNvSpPr txBox="1"/>
        </xdr:nvSpPr>
        <xdr:spPr>
          <a:xfrm>
            <a:off x="10193864" y="1761067"/>
            <a:ext cx="829733"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5DAD74B-6AD7-1E40-859A-3DFD4445DAFB}" type="TxLink">
              <a:rPr lang="en-US" sz="2800" b="1" i="0" u="none" strike="noStrike">
                <a:solidFill>
                  <a:srgbClr val="000000"/>
                </a:solidFill>
                <a:latin typeface="Aptos Narrow"/>
              </a:rPr>
              <a:pPr algn="ctr"/>
              <a:t>9</a:t>
            </a:fld>
            <a:endParaRPr lang="en-GB" sz="2800" b="1">
              <a:solidFill>
                <a:schemeClr val="tx2">
                  <a:lumMod val="50%"/>
                  <a:lumOff val="50%"/>
                </a:schemeClr>
              </a:solidFill>
            </a:endParaRPr>
          </a:p>
        </xdr:txBody>
      </xdr:sp>
    </xdr:grpSp>
    <xdr:clientData/>
  </xdr:twoCellAnchor>
  <xdr:twoCellAnchor>
    <xdr:from>
      <xdr:col>16</xdr:col>
      <xdr:colOff>520242</xdr:colOff>
      <xdr:row>6</xdr:row>
      <xdr:rowOff>0</xdr:rowOff>
    </xdr:from>
    <xdr:to>
      <xdr:col>19</xdr:col>
      <xdr:colOff>704213</xdr:colOff>
      <xdr:row>11</xdr:row>
      <xdr:rowOff>161428</xdr:rowOff>
    </xdr:to>
    <xdr:grpSp>
      <xdr:nvGrpSpPr>
        <xdr:cNvPr id="80" name="Group 79">
          <a:extLst>
            <a:ext uri="{FF2B5EF4-FFF2-40B4-BE49-F238E27FC236}">
              <a16:creationId xmlns:a16="http://schemas.microsoft.com/office/drawing/2014/main" id="{C3899B42-1F32-E442-BAFC-710D69F4EB1C}"/>
            </a:ext>
          </a:extLst>
        </xdr:cNvPr>
        <xdr:cNvGrpSpPr/>
      </xdr:nvGrpSpPr>
      <xdr:grpSpPr>
        <a:xfrm>
          <a:off x="13740483" y="1101687"/>
          <a:ext cx="2662766" cy="1079500"/>
          <a:chOff x="11660717" y="1206500"/>
          <a:chExt cx="2662766" cy="1079500"/>
        </a:xfrm>
      </xdr:grpSpPr>
      <xdr:sp macro="" textlink="">
        <xdr:nvSpPr>
          <xdr:cNvPr id="81" name="Rectangle 80">
            <a:extLst>
              <a:ext uri="{FF2B5EF4-FFF2-40B4-BE49-F238E27FC236}">
                <a16:creationId xmlns:a16="http://schemas.microsoft.com/office/drawing/2014/main" id="{7B80F917-7AC4-B7C3-F83A-ABDAEAC0A123}"/>
              </a:ext>
            </a:extLst>
          </xdr:cNvPr>
          <xdr:cNvSpPr/>
        </xdr:nvSpPr>
        <xdr:spPr>
          <a:xfrm>
            <a:off x="11660717" y="1206500"/>
            <a:ext cx="2662766" cy="1079500"/>
          </a:xfrm>
          <a:prstGeom prst="rect">
            <a:avLst/>
          </a:prstGeom>
          <a:solidFill>
            <a:schemeClr val="bg1"/>
          </a:solidFill>
          <a:effectLst>
            <a:glow rad="1016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pic>
        <xdr:nvPicPr>
          <xdr:cNvPr id="82" name="Graphic 81" descr="User with solid fill">
            <a:extLst>
              <a:ext uri="{FF2B5EF4-FFF2-40B4-BE49-F238E27FC236}">
                <a16:creationId xmlns:a16="http://schemas.microsoft.com/office/drawing/2014/main" id="{68DBBE6B-43B8-DC73-E1F5-A9C694EC3F89}"/>
              </a:ext>
            </a:extLst>
          </xdr:cNvPr>
          <xdr:cNvPicPr>
            <a:picLocks noChangeAspect="1"/>
          </xdr:cNvPicPr>
        </xdr:nvPicPr>
        <xdr:blipFill>
          <a:blip xmlns:r="http://purl.oclc.org/ooxml/officeDocument/relationships" r:embed="rId21">
            <a:extLst>
              <a:ext uri="{96DAC541-7B7A-43D3-8B79-37D633B846F1}">
                <asvg:svgBlip xmlns:asvg="http://schemas.microsoft.com/office/drawing/2016/SVG/main" r:embed="rId22"/>
              </a:ext>
            </a:extLst>
          </a:blip>
          <a:stretch>
            <a:fillRect/>
          </a:stretch>
        </xdr:blipFill>
        <xdr:spPr>
          <a:xfrm>
            <a:off x="11806767" y="1244600"/>
            <a:ext cx="914400" cy="893233"/>
          </a:xfrm>
          <a:prstGeom prst="rect">
            <a:avLst/>
          </a:prstGeom>
          <a:effectLst>
            <a:glow rad="139700">
              <a:srgbClr val="FFFF00">
                <a:alpha val="40%"/>
              </a:srgbClr>
            </a:glow>
          </a:effectLst>
        </xdr:spPr>
      </xdr:pic>
      <xdr:sp macro="" textlink="">
        <xdr:nvSpPr>
          <xdr:cNvPr id="83" name="TextBox 82">
            <a:extLst>
              <a:ext uri="{FF2B5EF4-FFF2-40B4-BE49-F238E27FC236}">
                <a16:creationId xmlns:a16="http://schemas.microsoft.com/office/drawing/2014/main" id="{9EED9BE9-47CE-E50E-9818-EFE250F11D66}"/>
              </a:ext>
            </a:extLst>
          </xdr:cNvPr>
          <xdr:cNvSpPr txBox="1"/>
        </xdr:nvSpPr>
        <xdr:spPr>
          <a:xfrm>
            <a:off x="12727517" y="1257300"/>
            <a:ext cx="103515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tx1"/>
                </a:solidFill>
              </a:rPr>
              <a:t>Attrition%</a:t>
            </a:r>
          </a:p>
        </xdr:txBody>
      </xdr:sp>
      <xdr:sp macro="" textlink="Sheet2!B17">
        <xdr:nvSpPr>
          <xdr:cNvPr id="84" name="TextBox 83">
            <a:extLst>
              <a:ext uri="{FF2B5EF4-FFF2-40B4-BE49-F238E27FC236}">
                <a16:creationId xmlns:a16="http://schemas.microsoft.com/office/drawing/2014/main" id="{FA272099-7FF4-16AB-4001-E85704D39C8F}"/>
              </a:ext>
            </a:extLst>
          </xdr:cNvPr>
          <xdr:cNvSpPr txBox="1"/>
        </xdr:nvSpPr>
        <xdr:spPr>
          <a:xfrm>
            <a:off x="13174133" y="1752601"/>
            <a:ext cx="821763"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647AC6F3-5CB0-2647-B1BD-AC6DF6F4C39E}" type="TxLink">
              <a:rPr lang="en-US" sz="2800" b="1" i="0" u="none" strike="noStrike">
                <a:solidFill>
                  <a:srgbClr val="000000"/>
                </a:solidFill>
                <a:latin typeface="Aptos Narrow"/>
              </a:rPr>
              <a:pPr algn="ctr"/>
              <a:t>50%</a:t>
            </a:fld>
            <a:endParaRPr lang="en-GB" sz="2800" b="1">
              <a:solidFill>
                <a:srgbClr val="FFC000"/>
              </a:solidFill>
            </a:endParaRPr>
          </a:p>
        </xdr:txBody>
      </xdr:sp>
    </xdr:grpSp>
    <xdr:clientData/>
  </xdr:twoCellAnchor>
  <xdr:twoCellAnchor>
    <xdr:from>
      <xdr:col>19</xdr:col>
      <xdr:colOff>765062</xdr:colOff>
      <xdr:row>5</xdr:row>
      <xdr:rowOff>183614</xdr:rowOff>
    </xdr:from>
    <xdr:to>
      <xdr:col>23</xdr:col>
      <xdr:colOff>294642</xdr:colOff>
      <xdr:row>12</xdr:row>
      <xdr:rowOff>32553</xdr:rowOff>
    </xdr:to>
    <xdr:grpSp>
      <xdr:nvGrpSpPr>
        <xdr:cNvPr id="85" name="Group 84">
          <a:extLst>
            <a:ext uri="{FF2B5EF4-FFF2-40B4-BE49-F238E27FC236}">
              <a16:creationId xmlns:a16="http://schemas.microsoft.com/office/drawing/2014/main" id="{D79B766B-643F-8942-A8C0-FB7032F1DF5D}"/>
            </a:ext>
          </a:extLst>
        </xdr:cNvPr>
        <xdr:cNvGrpSpPr/>
      </xdr:nvGrpSpPr>
      <xdr:grpSpPr>
        <a:xfrm>
          <a:off x="16464098" y="1101686"/>
          <a:ext cx="2834640" cy="1134240"/>
          <a:chOff x="14450551" y="1178588"/>
          <a:chExt cx="2671234" cy="1134240"/>
        </a:xfrm>
      </xdr:grpSpPr>
      <xdr:sp macro="" textlink="">
        <xdr:nvSpPr>
          <xdr:cNvPr id="86" name="Rectangle 85">
            <a:extLst>
              <a:ext uri="{FF2B5EF4-FFF2-40B4-BE49-F238E27FC236}">
                <a16:creationId xmlns:a16="http://schemas.microsoft.com/office/drawing/2014/main" id="{FEFE29E0-3410-EE7D-D431-F391054F0FD0}"/>
              </a:ext>
            </a:extLst>
          </xdr:cNvPr>
          <xdr:cNvSpPr/>
        </xdr:nvSpPr>
        <xdr:spPr>
          <a:xfrm>
            <a:off x="14450551" y="1178588"/>
            <a:ext cx="2671234" cy="1079500"/>
          </a:xfrm>
          <a:prstGeom prst="rect">
            <a:avLst/>
          </a:prstGeom>
          <a:solidFill>
            <a:schemeClr val="bg1"/>
          </a:solidFill>
          <a:effectLst>
            <a:glow rad="63500">
              <a:schemeClr val="accent1">
                <a:satMod val="175%"/>
                <a:alpha val="40%"/>
              </a:schemeClr>
            </a:glow>
            <a:outerShdw blurRad="50800" dist="38100" dir="5400000" algn="t"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pic>
        <xdr:nvPicPr>
          <xdr:cNvPr id="87" name="Graphic 86" descr="Employee badge with solid fill">
            <a:extLst>
              <a:ext uri="{FF2B5EF4-FFF2-40B4-BE49-F238E27FC236}">
                <a16:creationId xmlns:a16="http://schemas.microsoft.com/office/drawing/2014/main" id="{6A5C8749-9568-AC10-B44E-02A3F13B07DA}"/>
              </a:ext>
            </a:extLst>
          </xdr:cNvPr>
          <xdr:cNvPicPr>
            <a:picLocks noChangeAspect="1"/>
          </xdr:cNvPicPr>
        </xdr:nvPicPr>
        <xdr:blipFill>
          <a:blip xmlns:r="http://purl.oclc.org/ooxml/officeDocument/relationships" r:embed="rId23">
            <a:extLst>
              <a:ext uri="{96DAC541-7B7A-43D3-8B79-37D633B846F1}">
                <asvg:svgBlip xmlns:asvg="http://schemas.microsoft.com/office/drawing/2016/SVG/main" r:embed="rId24"/>
              </a:ext>
            </a:extLst>
          </a:blip>
          <a:stretch>
            <a:fillRect/>
          </a:stretch>
        </xdr:blipFill>
        <xdr:spPr>
          <a:xfrm>
            <a:off x="14660033" y="1206500"/>
            <a:ext cx="922867" cy="893233"/>
          </a:xfrm>
          <a:prstGeom prst="rect">
            <a:avLst/>
          </a:prstGeom>
          <a:effectLst>
            <a:glow rad="101600">
              <a:srgbClr val="FF0000">
                <a:alpha val="40%"/>
              </a:srgbClr>
            </a:glow>
          </a:effectLst>
        </xdr:spPr>
      </xdr:pic>
      <xdr:sp macro="" textlink="">
        <xdr:nvSpPr>
          <xdr:cNvPr id="88" name="TextBox 87">
            <a:extLst>
              <a:ext uri="{FF2B5EF4-FFF2-40B4-BE49-F238E27FC236}">
                <a16:creationId xmlns:a16="http://schemas.microsoft.com/office/drawing/2014/main" id="{3C9ABC9A-35CE-77C2-F6C9-95CB483E0575}"/>
              </a:ext>
            </a:extLst>
          </xdr:cNvPr>
          <xdr:cNvSpPr txBox="1"/>
        </xdr:nvSpPr>
        <xdr:spPr>
          <a:xfrm>
            <a:off x="15900400" y="1270000"/>
            <a:ext cx="88549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tx1"/>
                </a:solidFill>
              </a:rPr>
              <a:t>Transfer</a:t>
            </a:r>
          </a:p>
        </xdr:txBody>
      </xdr:sp>
      <xdr:sp macro="" textlink="Sheet2!B18">
        <xdr:nvSpPr>
          <xdr:cNvPr id="89" name="TextBox 88">
            <a:extLst>
              <a:ext uri="{FF2B5EF4-FFF2-40B4-BE49-F238E27FC236}">
                <a16:creationId xmlns:a16="http://schemas.microsoft.com/office/drawing/2014/main" id="{08FD4A9E-869A-9A4F-3666-76C5AC3F0678}"/>
              </a:ext>
            </a:extLst>
          </xdr:cNvPr>
          <xdr:cNvSpPr txBox="1"/>
        </xdr:nvSpPr>
        <xdr:spPr>
          <a:xfrm>
            <a:off x="16217900" y="1782234"/>
            <a:ext cx="366639"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17F6ACC-398E-5947-9F90-56ADF0380B6D}" type="TxLink">
              <a:rPr lang="en-US" sz="2800" b="1" i="0" u="none" strike="noStrike">
                <a:solidFill>
                  <a:srgbClr val="000000"/>
                </a:solidFill>
                <a:latin typeface="Aptos Narrow"/>
              </a:rPr>
              <a:pPr algn="ctr"/>
              <a:t>#REF!</a:t>
            </a:fld>
            <a:endParaRPr lang="en-GB" sz="2800" b="1">
              <a:solidFill>
                <a:srgbClr val="FF0000"/>
              </a:solidFill>
            </a:endParaRPr>
          </a:p>
        </xdr:txBody>
      </xdr:sp>
    </xdr:grpSp>
    <xdr:clientData/>
  </xdr:twoCellAnchor>
  <xdr:twoCellAnchor editAs="oneCell">
    <xdr:from>
      <xdr:col>12</xdr:col>
      <xdr:colOff>795662</xdr:colOff>
      <xdr:row>17</xdr:row>
      <xdr:rowOff>61205</xdr:rowOff>
    </xdr:from>
    <xdr:to>
      <xdr:col>14</xdr:col>
      <xdr:colOff>31542</xdr:colOff>
      <xdr:row>22</xdr:row>
      <xdr:rowOff>2993</xdr:rowOff>
    </xdr:to>
    <xdr:pic>
      <xdr:nvPicPr>
        <xdr:cNvPr id="90" name="Picture 89">
          <a:extLst>
            <a:ext uri="{FF2B5EF4-FFF2-40B4-BE49-F238E27FC236}">
              <a16:creationId xmlns:a16="http://schemas.microsoft.com/office/drawing/2014/main" id="{85B611D1-F62E-AE4E-A0F9-436AAE59C46D}"/>
            </a:ext>
          </a:extLst>
        </xdr:cNvPr>
        <xdr:cNvPicPr>
          <a:picLocks noChangeAspect="1"/>
        </xdr:cNvPicPr>
      </xdr:nvPicPr>
      <xdr:blipFill>
        <a:blip xmlns:r="http://purl.oclc.org/ooxml/officeDocument/relationships" r:embed="rId25"/>
        <a:stretch>
          <a:fillRect/>
        </a:stretch>
      </xdr:blipFill>
      <xdr:spPr>
        <a:xfrm>
          <a:off x="10710843" y="3182651"/>
          <a:ext cx="888410" cy="859860"/>
        </a:xfrm>
        <a:prstGeom prst="rect">
          <a:avLst/>
        </a:prstGeom>
      </xdr:spPr>
    </xdr:pic>
    <xdr:clientData/>
  </xdr:twoCellAnchor>
  <xdr:twoCellAnchor editAs="oneCell">
    <xdr:from>
      <xdr:col>2</xdr:col>
      <xdr:colOff>625208</xdr:colOff>
      <xdr:row>20</xdr:row>
      <xdr:rowOff>63719</xdr:rowOff>
    </xdr:from>
    <xdr:to>
      <xdr:col>5</xdr:col>
      <xdr:colOff>581447</xdr:colOff>
      <xdr:row>31</xdr:row>
      <xdr:rowOff>78953</xdr:rowOff>
    </xdr:to>
    <xdr:pic>
      <xdr:nvPicPr>
        <xdr:cNvPr id="91" name="Picture 90">
          <a:extLst>
            <a:ext uri="{FF2B5EF4-FFF2-40B4-BE49-F238E27FC236}">
              <a16:creationId xmlns:a16="http://schemas.microsoft.com/office/drawing/2014/main" id="{41CFA07A-D605-79A9-9CDD-FAF4A9437FC6}"/>
            </a:ext>
          </a:extLst>
        </xdr:cNvPr>
        <xdr:cNvPicPr>
          <a:picLocks noChangeAspect="1"/>
        </xdr:cNvPicPr>
      </xdr:nvPicPr>
      <xdr:blipFill>
        <a:blip xmlns:r="http://purl.oclc.org/ooxml/officeDocument/relationships" r:embed="rId26"/>
        <a:stretch>
          <a:fillRect/>
        </a:stretch>
      </xdr:blipFill>
      <xdr:spPr>
        <a:xfrm>
          <a:off x="2277738" y="3736008"/>
          <a:ext cx="2435034" cy="20349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KritikaPandey" refreshedDateIso="2026-06-29T23:26:20.5180002702400088625" createdVersion="8" refreshedVersion="8" minRefreshableVersion="3" recordCount="171" xr:uid="{346304BB-505A-BE4E-847D-6CF453F853D4}">
  <cacheSource type="worksheet">
    <worksheetSource name="Table2"/>
  </cacheSource>
  <cacheFields count="20">
    <cacheField name="Emp Status" numFmtId="0">
      <sharedItems count="3">
        <s v="On-Board"/>
        <s v="Attrition"/>
        <s v="Transfer"/>
      </sharedItems>
    </cacheField>
    <cacheField name="Movement" numFmtId="0">
      <sharedItems containsBlank="1" count="3">
        <s v="IJP"/>
        <m/>
        <s v="OnRoll"/>
      </sharedItems>
    </cacheField>
    <cacheField name="Emp Id" numFmtId="0">
      <sharedItems containsMixedTypes="1" containsNumber="1" containsInteger="1" minValue="100957" maxValue="198396"/>
    </cacheField>
    <cacheField name="Name" numFmtId="0">
      <sharedItems count="171">
        <s v="Adrian Odonnell"/>
        <s v="Marina Velazquez"/>
        <s v="Regina Schaefer"/>
        <s v="Donna Sparks"/>
        <s v="Sal Glass"/>
        <s v="Malik Schneider"/>
        <s v="Fanny Hampton"/>
        <s v="Edison York"/>
        <s v="Geraldo Pugh"/>
        <s v="Ellis Best"/>
        <s v="Olen Walter"/>
        <s v="Mckinley Baird"/>
        <s v="Maura Huynh"/>
        <s v="Buster Joyce"/>
        <s v="Rosanna Bauer"/>
        <s v="Marion Harmon"/>
        <s v="Shawn Ross"/>
        <s v="Houston Wilson"/>
        <s v="Maricela Gates"/>
        <s v="Fletcher Tate"/>
        <s v="Emily Davis"/>
        <s v="Penelope Jordan"/>
        <s v="Alfredo Mcclain"/>
        <s v="Preston Case"/>
        <s v="Branden Kaiser"/>
        <s v="Julia Bell"/>
        <s v="Sammy Hancock"/>
        <s v="Mabel Cuevas"/>
        <s v="Janelle Wiley"/>
        <s v="Norris Madden"/>
        <s v="Vincenzo Mcdowell"/>
        <s v="Chris Mcbride"/>
        <s v="Wesley Berger"/>
        <s v="Bart Sims"/>
        <s v="Tricia Arroyo"/>
        <s v="Kennith Barber"/>
        <s v="Alonzo Harrison"/>
        <s v="Ryan Simmons"/>
        <s v="Kirk Wagner"/>
        <s v="Zackary Tucker"/>
        <s v="Roberto Ford"/>
        <s v="Sadie Mcmahon"/>
        <s v="Darla Parks"/>
        <s v="Darryl Leon"/>
        <s v="Letitia Church"/>
        <s v="Collin Paul"/>
        <s v="Frances Leblanc"/>
        <s v="Alexis Conway"/>
        <s v="Roberta Moyer"/>
        <s v="Alejandra Mack"/>
        <s v="Chi Preston"/>
        <s v="Randolph Reilly"/>
        <s v="Howard Wiggins"/>
        <s v="Palmer Hart"/>
        <s v="Lesa Terrell"/>
        <s v="Celeste Moses"/>
        <s v="Leanne Mosley"/>
        <s v="Renaldo Navarro"/>
        <s v="Sonia Ortiz"/>
        <s v="Faith Lopez"/>
        <s v="Kim Ramirez"/>
        <s v="Mariana Chavez"/>
        <s v="Tracey Burch"/>
        <s v="Gabriela Juarez"/>
        <s v="Katheryn Trevino"/>
        <s v="Angelita Townsend"/>
        <s v="Damon Burgess"/>
        <s v="Olen Watts"/>
        <s v="Raymond Levine"/>
        <s v="Sally Hinton"/>
        <s v="Katelyn Ware"/>
        <s v="Jessie Bowen"/>
        <s v="Mac Marquez"/>
        <s v="Spencer Webb"/>
        <s v="Valentin Mcdonald"/>
        <s v="Royce Schneider"/>
        <s v="Kara Mclean"/>
        <s v="Damian Mckee"/>
        <s v="Mohamed Duran"/>
        <s v="Vera Harvey"/>
        <s v="Cristina David"/>
        <s v="Florence Randall"/>
        <s v="Andrea Logan"/>
        <s v="Barrett Wallace"/>
        <s v="Claude Ramsey"/>
        <s v="Mason Wells"/>
        <s v="Whitney Vance"/>
        <s v="Bobbie Harvey"/>
        <s v="Russel Fox"/>
        <s v="Benita Holland"/>
        <s v="Cory Leblanc"/>
        <s v="Isaiah George"/>
        <s v="Brad Nichols"/>
        <s v="Quentin Mcdonald"/>
        <s v="Johnie Pruitt"/>
        <s v="Walker Whitney"/>
        <s v="Alexander Fowler"/>
        <s v="Susanna Humphrey"/>
        <s v="Beth Lowe"/>
        <s v="Casandra Aguilar"/>
        <s v="Lynn Andersen"/>
        <s v="Leola Vega"/>
        <s v="Hillary Spencer"/>
        <s v="Joesph Jones"/>
        <s v="Otha May"/>
        <s v="Ophelia Black"/>
        <s v="Helena Williamson"/>
        <s v="Megan Kent"/>
        <s v="Rufus Escobar"/>
        <s v="Ericka Hurst"/>
        <s v="Johnny Cisneros"/>
        <s v="Alba Norton"/>
        <s v="Sanford Patterson"/>
        <s v="Blanche Greer"/>
        <s v="Nita Powers"/>
        <s v="Francesco Blanchard"/>
        <s v="Elias Davis"/>
        <s v="Lucio Christian"/>
        <s v="Greg Schaefer"/>
        <s v="Adriana Little"/>
        <s v="Abdul Khan"/>
        <s v="Marissa Mckee"/>
        <s v="Ashlee Ortega"/>
        <s v="Edmund Lawson"/>
        <s v="Linda Jacobs"/>
        <s v="Kelley Harding"/>
        <s v="Rose Carney"/>
        <s v="Emery Goodwin"/>
        <s v="Derick Singh"/>
        <s v="Hassan Wilcox"/>
        <s v="Natalie Serrano"/>
        <s v="Sandy Singleton"/>
        <s v="Josiah Hart"/>
        <s v="Wayne Hartman"/>
        <s v="Sallie Carpenter"/>
        <s v="Allen Walters"/>
        <s v="Flora Bass"/>
        <s v="Geneva Hardy"/>
        <s v="Roberto Harper"/>
        <s v="Isabella Miles"/>
        <s v="Consuelo Beck"/>
        <s v="Barney Velasquez"/>
        <s v="Jamaal Delgado"/>
        <s v="Glenda Ayers"/>
        <s v="Vonda Chandler"/>
        <s v="Elma Perkins"/>
        <s v="Irving Good"/>
        <s v="Carlo Stephens"/>
        <s v="Fermin Maddox"/>
        <s v="Wendell Bonilla"/>
        <s v="Hank Copeland"/>
        <s v="Luciano Arnold"/>
        <s v="Aimee Freeman"/>
        <s v="Jarrett Henson"/>
        <s v="Garland Barber"/>
        <s v="Filiberto Baird"/>
        <s v="Reed Pena"/>
        <s v="Cecile Garner"/>
        <s v="Art Kim"/>
        <s v="Grover Kramer"/>
        <s v="Milan Pope"/>
        <s v="Randal Mata"/>
        <s v="Pete Arroyo"/>
        <s v="Jefferson Perry"/>
        <s v="Luna Sanders"/>
        <s v="Santos Mooney"/>
        <s v="Theodore Dinh"/>
        <s v="Austin Vo"/>
        <s v="Jermaine Benitez"/>
        <s v="Joshua Gupta"/>
        <s v="Dave Armstrong"/>
      </sharedItems>
    </cacheField>
    <cacheField name="Date of Joining" numFmtId="164">
      <sharedItems containsSemiMixedTypes="0" containsNonDate="0" containsDate="1" containsString="0" minDate="2020-02-06T00:00:00" maxDate="2025-07-20T00:00:00" count="118">
        <d v="2020-04-29T00:00:00"/>
        <d v="2020-09-01T00:00:00"/>
        <d v="2021-01-01T00:00:00"/>
        <d v="2021-02-09T00:00:00"/>
        <d v="2021-09-30T00:00:00"/>
        <d v="2022-04-04T00:00:00"/>
        <d v="2022-06-03T00:00:00"/>
        <d v="2022-06-09T00:00:00"/>
        <d v="2022-07-07T00:00:00"/>
        <d v="2022-08-04T00:00:00"/>
        <d v="2022-09-01T00:00:00"/>
        <d v="2022-09-08T00:00:00"/>
        <d v="2022-11-08T00:00:00"/>
        <d v="2023-01-21T00:00:00"/>
        <d v="2023-06-06T00:00:00"/>
        <d v="2023-10-19T00:00:00"/>
        <d v="2023-12-14T00:00:00"/>
        <d v="2024-02-06T00:00:00"/>
        <d v="2024-03-27T00:00:00"/>
        <d v="2024-06-01T00:00:00"/>
        <d v="2025-01-05T00:00:00"/>
        <d v="2025-01-14T00:00:00"/>
        <d v="2025-04-28T00:00:00"/>
        <d v="2020-02-06T00:00:00"/>
        <d v="2020-02-08T00:00:00"/>
        <d v="2020-02-13T00:00:00"/>
        <d v="2020-02-26T00:00:00"/>
        <d v="2020-03-11T00:00:00"/>
        <d v="2020-03-26T00:00:00"/>
        <d v="2020-05-20T00:00:00"/>
        <d v="2020-06-12T00:00:00"/>
        <d v="2020-06-18T00:00:00"/>
        <d v="2020-06-26T00:00:00"/>
        <d v="2020-07-08T00:00:00"/>
        <d v="2020-07-24T00:00:00"/>
        <d v="2020-07-31T00:00:00"/>
        <d v="2020-08-14T00:00:00"/>
        <d v="2020-08-26T00:00:00"/>
        <d v="2020-09-09T00:00:00"/>
        <d v="2020-09-16T00:00:00"/>
        <d v="2020-10-16T00:00:00"/>
        <d v="2020-11-28T00:00:00"/>
        <d v="2020-12-02T00:00:00"/>
        <d v="2020-12-21T00:00:00"/>
        <d v="2020-12-26T00:00:00"/>
        <d v="2021-01-22T00:00:00"/>
        <d v="2021-01-29T00:00:00"/>
        <d v="2021-02-19T00:00:00"/>
        <d v="2021-02-24T00:00:00"/>
        <d v="2021-03-02T00:00:00"/>
        <d v="2021-03-09T00:00:00"/>
        <d v="2021-03-16T00:00:00"/>
        <d v="2021-05-27T00:00:00"/>
        <d v="2021-08-10T00:00:00"/>
        <d v="2021-08-12T00:00:00"/>
        <d v="2021-08-17T00:00:00"/>
        <d v="2021-09-01T00:00:00"/>
        <d v="2021-09-09T00:00:00"/>
        <d v="2021-09-16T00:00:00"/>
        <d v="2021-10-21T00:00:00"/>
        <d v="2021-11-18T00:00:00"/>
        <d v="2022-02-24T00:00:00"/>
        <d v="2022-03-03T00:00:00"/>
        <d v="2022-03-17T00:00:00"/>
        <d v="2022-03-24T00:00:00"/>
        <d v="2022-04-07T00:00:00"/>
        <d v="2022-04-14T00:00:00"/>
        <d v="2022-04-19T00:00:00"/>
        <d v="2022-05-05T00:00:00"/>
        <d v="2022-06-30T00:00:00"/>
        <d v="2022-07-21T00:00:00"/>
        <d v="2022-07-26T00:00:00"/>
        <d v="2022-09-15T00:00:00"/>
        <d v="2022-10-06T00:00:00"/>
        <d v="2022-10-13T00:00:00"/>
        <d v="2022-11-03T00:00:00"/>
        <d v="2022-12-06T00:00:00"/>
        <d v="2023-02-01T00:00:00"/>
        <d v="2023-04-11T00:00:00"/>
        <d v="2023-04-20T00:00:00"/>
        <d v="2023-05-11T00:00:00"/>
        <d v="2023-05-18T00:00:00"/>
        <d v="2023-06-01T00:00:00"/>
        <d v="2023-06-08T00:00:00"/>
        <d v="2023-06-29T00:00:00"/>
        <d v="2023-07-04T00:00:00"/>
        <d v="2023-07-13T00:00:00"/>
        <d v="2023-07-18T00:00:00"/>
        <d v="2023-07-27T00:00:00"/>
        <d v="2023-08-01T00:00:00"/>
        <d v="2023-08-03T00:00:00"/>
        <d v="2023-08-16T00:00:00"/>
        <d v="2023-09-12T00:00:00"/>
        <d v="2023-09-26T00:00:00"/>
        <d v="2023-10-28T00:00:00"/>
        <d v="2023-11-30T00:00:00"/>
        <d v="2023-12-05T00:00:00"/>
        <d v="2023-12-07T00:00:00"/>
        <d v="2023-12-12T00:00:00"/>
        <d v="2023-12-19T00:00:00"/>
        <d v="2023-12-28T00:00:00"/>
        <d v="2024-01-04T00:00:00"/>
        <d v="2024-01-11T00:00:00"/>
        <d v="2024-01-23T00:00:00"/>
        <d v="2024-02-01T00:00:00"/>
        <d v="2024-03-15T00:00:00"/>
        <d v="2024-03-23T00:00:00"/>
        <d v="2024-04-03T00:00:00"/>
        <d v="2024-04-19T00:00:00"/>
        <d v="2024-05-15T00:00:00"/>
        <d v="2024-05-22T00:00:00"/>
        <d v="2024-06-12T00:00:00"/>
        <d v="2024-10-04T00:00:00"/>
        <d v="2025-01-01T00:00:00"/>
        <d v="2025-01-07T00:00:00"/>
        <d v="2025-03-04T00:00:00"/>
        <d v="2025-07-14T00:00:00"/>
        <d v="2025-07-19T00:00:00"/>
      </sharedItems>
      <fieldGroup par="19"/>
    </cacheField>
    <cacheField name="Data of Relieving" numFmtId="164">
      <sharedItems containsNonDate="0" containsDate="1" containsString="0" containsBlank="1" minDate="2020-12-18T00:00:00" maxDate="2024-09-30T00:00:00"/>
    </cacheField>
    <cacheField name="Reporting Manager" numFmtId="0">
      <sharedItems count="7">
        <s v="Roberta Moyer"/>
        <s v="Ryan Simmons"/>
        <s v="Darryl Leon"/>
        <s v="Geneva Hardy"/>
        <s v="Janelle Wiley"/>
        <s v="Alejandra Mack"/>
        <s v="Jefferson Perry"/>
      </sharedItems>
    </cacheField>
    <cacheField name="Emp Type" numFmtId="0">
      <sharedItems count="2">
        <s v="Contract"/>
        <s v="Permanent"/>
      </sharedItems>
    </cacheField>
    <cacheField name="Category" numFmtId="0">
      <sharedItems count="2">
        <s v="Male"/>
        <s v="Female"/>
      </sharedItems>
    </cacheField>
    <cacheField name="Date of Birth" numFmtId="165">
      <sharedItems containsSemiMixedTypes="0" containsNonDate="0" containsDate="1" containsString="0" minDate="1982-01-03T00:00:00" maxDate="2023-08-07T00:00:00"/>
    </cacheField>
    <cacheField name="Marital status" numFmtId="165">
      <sharedItems/>
    </cacheField>
    <cacheField name="Grade" numFmtId="0">
      <sharedItems count="4">
        <s v="Contract"/>
        <s v="Trainees"/>
        <s v="Management"/>
        <s v="Professional"/>
      </sharedItems>
    </cacheField>
    <cacheField name="Department" numFmtId="0">
      <sharedItems count="7">
        <s v="Operations"/>
        <s v="Accounting"/>
        <s v="Legal"/>
        <s v="Marketing"/>
        <s v="Finance"/>
        <s v="HR"/>
        <s v="Sales"/>
      </sharedItems>
    </cacheField>
    <cacheField name="Total Experience" numFmtId="0">
      <sharedItems containsSemiMixedTypes="0" containsString="0" containsNumber="1" minValue="0" maxValue="19"/>
    </cacheField>
    <cacheField name="Year" numFmtId="0">
      <sharedItems containsSemiMixedTypes="0" containsString="0" containsNumber="1" containsInteger="1" minValue="2020" maxValue="2025" count="6">
        <n v="2020"/>
        <n v="2021"/>
        <n v="2022"/>
        <n v="2023"/>
        <n v="2024"/>
        <n v="2025"/>
      </sharedItems>
    </cacheField>
    <cacheField name="Stability" numFmtId="0">
      <sharedItems count="6">
        <s v="5+ years"/>
        <s v="4+ years"/>
        <s v="3+ years"/>
        <s v="2+ years"/>
        <s v="1+ years"/>
        <s v="&lt;1 year"/>
      </sharedItems>
    </cacheField>
    <cacheField name="Column1" numFmtId="0">
      <sharedItems containsNonDate="0" containsString="0" containsBlank="1"/>
    </cacheField>
    <cacheField name="Months (Date of Joining)" numFmtId="0" databaseField="0">
      <fieldGroup base="4">
        <rangePr groupBy="months" startDate="2020-02-06T00:00:00" endDate="2025-07-20T00:00:00"/>
        <groupItems count="14">
          <s v="&lt;06/02/20"/>
          <s v="Jan"/>
          <s v="Feb"/>
          <s v="Mar"/>
          <s v="Apr"/>
          <s v="May"/>
          <s v="Jun"/>
          <s v="Jul"/>
          <s v="Aug"/>
          <s v="Sep"/>
          <s v="Oct"/>
          <s v="Nov"/>
          <s v="Dec"/>
          <s v="&gt;20/07/25"/>
        </groupItems>
      </fieldGroup>
    </cacheField>
    <cacheField name="Quarters (Date of Joining)" numFmtId="0" databaseField="0">
      <fieldGroup base="4">
        <rangePr groupBy="quarters" startDate="2020-02-06T00:00:00" endDate="2025-07-20T00:00:00"/>
        <groupItems count="6">
          <s v="&lt;06/02/20"/>
          <s v="Qtr1"/>
          <s v="Qtr2"/>
          <s v="Qtr3"/>
          <s v="Qtr4"/>
          <s v="&gt;20/07/25"/>
        </groupItems>
      </fieldGroup>
    </cacheField>
    <cacheField name="Years (Date of Joining)" numFmtId="0" databaseField="0">
      <fieldGroup base="4">
        <rangePr groupBy="years" startDate="2020-02-06T00:00:00" endDate="2025-07-20T00:00:00"/>
        <groupItems count="8">
          <s v="&lt;06/02/20"/>
          <s v="2020"/>
          <s v="2021"/>
          <s v="2022"/>
          <s v="2023"/>
          <s v="2024"/>
          <s v="2025"/>
          <s v="&gt;20/07/25"/>
        </groupItems>
      </fieldGroup>
    </cacheField>
  </cacheFields>
  <extLst>
    <ext xmlns:x14="http://schemas.microsoft.com/office/spreadsheetml/2009/9/main" uri="{725AE2AE-9491-48be-B2B4-4EB974FC3084}">
      <x14:pivotCacheDefinition pivotCacheId="108655146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71">
  <r>
    <x v="0"/>
    <x v="0"/>
    <s v="CT18807"/>
    <x v="0"/>
    <x v="0"/>
    <m/>
    <x v="0"/>
    <x v="0"/>
    <x v="0"/>
    <d v="2021-07-13T00:00:00"/>
    <s v="Single"/>
    <x v="0"/>
    <x v="0"/>
    <n v="0"/>
    <x v="0"/>
    <x v="0"/>
    <m/>
  </r>
  <r>
    <x v="1"/>
    <x v="1"/>
    <s v="CT12674"/>
    <x v="1"/>
    <x v="1"/>
    <d v="2020-12-18T00:00:00"/>
    <x v="0"/>
    <x v="0"/>
    <x v="0"/>
    <d v="2021-10-03T00:00:00"/>
    <s v="Married"/>
    <x v="1"/>
    <x v="1"/>
    <n v="6.5"/>
    <x v="0"/>
    <x v="0"/>
    <m/>
  </r>
  <r>
    <x v="0"/>
    <x v="1"/>
    <s v="CT11735"/>
    <x v="2"/>
    <x v="2"/>
    <m/>
    <x v="0"/>
    <x v="0"/>
    <x v="0"/>
    <d v="2021-02-09T00:00:00"/>
    <s v="Single"/>
    <x v="0"/>
    <x v="0"/>
    <n v="4.8"/>
    <x v="1"/>
    <x v="0"/>
    <m/>
  </r>
  <r>
    <x v="0"/>
    <x v="1"/>
    <s v="CT10131"/>
    <x v="3"/>
    <x v="3"/>
    <m/>
    <x v="0"/>
    <x v="0"/>
    <x v="0"/>
    <d v="2021-03-14T00:00:00"/>
    <s v="Single"/>
    <x v="0"/>
    <x v="2"/>
    <n v="14"/>
    <x v="1"/>
    <x v="0"/>
    <m/>
  </r>
  <r>
    <x v="1"/>
    <x v="1"/>
    <s v="CT16953"/>
    <x v="4"/>
    <x v="4"/>
    <d v="2022-09-30T00:00:00"/>
    <x v="1"/>
    <x v="0"/>
    <x v="1"/>
    <d v="2021-04-11T00:00:00"/>
    <s v="Single"/>
    <x v="0"/>
    <x v="3"/>
    <n v="0"/>
    <x v="1"/>
    <x v="1"/>
    <m/>
  </r>
  <r>
    <x v="1"/>
    <x v="1"/>
    <s v="CT11213"/>
    <x v="5"/>
    <x v="5"/>
    <d v="2022-07-16T00:00:00"/>
    <x v="2"/>
    <x v="0"/>
    <x v="0"/>
    <d v="2021-08-23T00:00:00"/>
    <s v="Single"/>
    <x v="0"/>
    <x v="4"/>
    <n v="2"/>
    <x v="2"/>
    <x v="1"/>
    <m/>
  </r>
  <r>
    <x v="1"/>
    <x v="1"/>
    <s v="CT17933"/>
    <x v="6"/>
    <x v="6"/>
    <d v="2023-01-25T00:00:00"/>
    <x v="1"/>
    <x v="0"/>
    <x v="0"/>
    <d v="2021-01-30T00:00:00"/>
    <s v="Single"/>
    <x v="0"/>
    <x v="3"/>
    <n v="2.8"/>
    <x v="2"/>
    <x v="1"/>
    <m/>
  </r>
  <r>
    <x v="1"/>
    <x v="1"/>
    <s v="CT17253"/>
    <x v="7"/>
    <x v="7"/>
    <d v="2023-08-11T00:00:00"/>
    <x v="1"/>
    <x v="0"/>
    <x v="0"/>
    <d v="2021-10-28T00:00:00"/>
    <s v="Single"/>
    <x v="0"/>
    <x v="5"/>
    <n v="0"/>
    <x v="2"/>
    <x v="1"/>
    <m/>
  </r>
  <r>
    <x v="1"/>
    <x v="1"/>
    <s v="CT14693"/>
    <x v="8"/>
    <x v="8"/>
    <d v="2023-08-30T00:00:00"/>
    <x v="3"/>
    <x v="0"/>
    <x v="0"/>
    <d v="2021-12-26T00:00:00"/>
    <s v="Single"/>
    <x v="0"/>
    <x v="5"/>
    <n v="3"/>
    <x v="2"/>
    <x v="2"/>
    <m/>
  </r>
  <r>
    <x v="1"/>
    <x v="1"/>
    <s v="CT11465"/>
    <x v="9"/>
    <x v="9"/>
    <d v="2023-05-13T00:00:00"/>
    <x v="1"/>
    <x v="0"/>
    <x v="0"/>
    <d v="2021-04-07T00:00:00"/>
    <s v="Single"/>
    <x v="0"/>
    <x v="2"/>
    <n v="5.9"/>
    <x v="2"/>
    <x v="2"/>
    <m/>
  </r>
  <r>
    <x v="0"/>
    <x v="1"/>
    <s v="CT12948"/>
    <x v="10"/>
    <x v="10"/>
    <m/>
    <x v="4"/>
    <x v="0"/>
    <x v="0"/>
    <d v="2021-10-18T00:00:00"/>
    <s v="Married"/>
    <x v="0"/>
    <x v="4"/>
    <n v="10"/>
    <x v="2"/>
    <x v="2"/>
    <m/>
  </r>
  <r>
    <x v="1"/>
    <x v="1"/>
    <s v="CT11145"/>
    <x v="11"/>
    <x v="11"/>
    <d v="2023-12-30T00:00:00"/>
    <x v="4"/>
    <x v="0"/>
    <x v="1"/>
    <d v="2021-04-26T00:00:00"/>
    <s v="Single"/>
    <x v="0"/>
    <x v="3"/>
    <n v="1"/>
    <x v="2"/>
    <x v="2"/>
    <m/>
  </r>
  <r>
    <x v="0"/>
    <x v="1"/>
    <s v="CT18269"/>
    <x v="12"/>
    <x v="12"/>
    <m/>
    <x v="4"/>
    <x v="0"/>
    <x v="0"/>
    <d v="2021-10-27T00:00:00"/>
    <s v="Married"/>
    <x v="0"/>
    <x v="6"/>
    <n v="10"/>
    <x v="2"/>
    <x v="2"/>
    <m/>
  </r>
  <r>
    <x v="1"/>
    <x v="1"/>
    <s v="CT13931"/>
    <x v="13"/>
    <x v="13"/>
    <d v="2023-11-21T00:00:00"/>
    <x v="5"/>
    <x v="0"/>
    <x v="0"/>
    <d v="2021-09-06T00:00:00"/>
    <s v="Single"/>
    <x v="0"/>
    <x v="3"/>
    <n v="0"/>
    <x v="3"/>
    <x v="2"/>
    <m/>
  </r>
  <r>
    <x v="1"/>
    <x v="1"/>
    <s v="CT15252"/>
    <x v="14"/>
    <x v="14"/>
    <d v="2024-05-03T00:00:00"/>
    <x v="5"/>
    <x v="0"/>
    <x v="1"/>
    <d v="2022-02-28T00:00:00"/>
    <s v="Single"/>
    <x v="0"/>
    <x v="5"/>
    <n v="0.1"/>
    <x v="3"/>
    <x v="2"/>
    <m/>
  </r>
  <r>
    <x v="0"/>
    <x v="1"/>
    <s v="CT13664"/>
    <x v="15"/>
    <x v="15"/>
    <m/>
    <x v="5"/>
    <x v="0"/>
    <x v="1"/>
    <d v="2022-09-26T00:00:00"/>
    <s v="Single"/>
    <x v="0"/>
    <x v="5"/>
    <n v="0"/>
    <x v="3"/>
    <x v="3"/>
    <m/>
  </r>
  <r>
    <x v="0"/>
    <x v="1"/>
    <s v="CT10043"/>
    <x v="16"/>
    <x v="16"/>
    <m/>
    <x v="5"/>
    <x v="0"/>
    <x v="1"/>
    <d v="2022-11-12T00:00:00"/>
    <s v="Single"/>
    <x v="0"/>
    <x v="2"/>
    <n v="4"/>
    <x v="3"/>
    <x v="3"/>
    <m/>
  </r>
  <r>
    <x v="0"/>
    <x v="1"/>
    <s v="CT16547"/>
    <x v="17"/>
    <x v="17"/>
    <m/>
    <x v="0"/>
    <x v="0"/>
    <x v="0"/>
    <d v="2021-12-28T00:00:00"/>
    <s v="Single"/>
    <x v="0"/>
    <x v="5"/>
    <n v="0"/>
    <x v="4"/>
    <x v="3"/>
    <m/>
  </r>
  <r>
    <x v="0"/>
    <x v="1"/>
    <s v="CT11188"/>
    <x v="18"/>
    <x v="18"/>
    <m/>
    <x v="5"/>
    <x v="0"/>
    <x v="0"/>
    <d v="2003-03-06T00:00:00"/>
    <s v="Married"/>
    <x v="0"/>
    <x v="3"/>
    <n v="10"/>
    <x v="4"/>
    <x v="3"/>
    <m/>
  </r>
  <r>
    <x v="0"/>
    <x v="1"/>
    <s v="CT14537"/>
    <x v="19"/>
    <x v="19"/>
    <m/>
    <x v="5"/>
    <x v="0"/>
    <x v="1"/>
    <d v="2022-12-03T00:00:00"/>
    <s v="Married"/>
    <x v="0"/>
    <x v="2"/>
    <n v="4"/>
    <x v="4"/>
    <x v="3"/>
    <m/>
  </r>
  <r>
    <x v="0"/>
    <x v="1"/>
    <s v="CT14690"/>
    <x v="20"/>
    <x v="20"/>
    <m/>
    <x v="6"/>
    <x v="0"/>
    <x v="1"/>
    <d v="2021-05-22T00:00:00"/>
    <s v="Married"/>
    <x v="0"/>
    <x v="4"/>
    <n v="4.8"/>
    <x v="5"/>
    <x v="4"/>
    <m/>
  </r>
  <r>
    <x v="0"/>
    <x v="1"/>
    <s v="CT16195"/>
    <x v="21"/>
    <x v="21"/>
    <m/>
    <x v="6"/>
    <x v="0"/>
    <x v="0"/>
    <d v="2021-02-09T00:00:00"/>
    <s v="Single"/>
    <x v="0"/>
    <x v="0"/>
    <n v="9"/>
    <x v="5"/>
    <x v="4"/>
    <m/>
  </r>
  <r>
    <x v="0"/>
    <x v="1"/>
    <s v="CT16735"/>
    <x v="22"/>
    <x v="22"/>
    <m/>
    <x v="1"/>
    <x v="0"/>
    <x v="0"/>
    <d v="2021-12-06T00:00:00"/>
    <s v="Married"/>
    <x v="0"/>
    <x v="3"/>
    <n v="8"/>
    <x v="5"/>
    <x v="4"/>
    <m/>
  </r>
  <r>
    <x v="0"/>
    <x v="0"/>
    <n v="107224"/>
    <x v="23"/>
    <x v="23"/>
    <m/>
    <x v="0"/>
    <x v="1"/>
    <x v="0"/>
    <d v="2021-08-25T00:00:00"/>
    <s v="Single"/>
    <x v="1"/>
    <x v="0"/>
    <n v="13"/>
    <x v="0"/>
    <x v="0"/>
    <m/>
  </r>
  <r>
    <x v="1"/>
    <x v="0"/>
    <n v="148467"/>
    <x v="24"/>
    <x v="24"/>
    <d v="2024-06-30T00:00:00"/>
    <x v="6"/>
    <x v="1"/>
    <x v="1"/>
    <d v="2021-10-25T00:00:00"/>
    <s v="Single"/>
    <x v="1"/>
    <x v="1"/>
    <n v="5"/>
    <x v="0"/>
    <x v="0"/>
    <m/>
  </r>
  <r>
    <x v="1"/>
    <x v="1"/>
    <n v="114416"/>
    <x v="25"/>
    <x v="25"/>
    <d v="2024-01-09T00:00:00"/>
    <x v="5"/>
    <x v="1"/>
    <x v="0"/>
    <d v="2021-11-24T00:00:00"/>
    <s v="Married"/>
    <x v="2"/>
    <x v="4"/>
    <n v="8"/>
    <x v="0"/>
    <x v="0"/>
    <m/>
  </r>
  <r>
    <x v="0"/>
    <x v="1"/>
    <n v="189095"/>
    <x v="26"/>
    <x v="26"/>
    <m/>
    <x v="5"/>
    <x v="1"/>
    <x v="0"/>
    <d v="2021-11-04T00:00:00"/>
    <s v="Single"/>
    <x v="2"/>
    <x v="0"/>
    <n v="17"/>
    <x v="0"/>
    <x v="0"/>
    <m/>
  </r>
  <r>
    <x v="1"/>
    <x v="1"/>
    <n v="123874"/>
    <x v="27"/>
    <x v="27"/>
    <d v="2021-12-30T00:00:00"/>
    <x v="5"/>
    <x v="1"/>
    <x v="0"/>
    <d v="2021-12-28T00:00:00"/>
    <s v="Married"/>
    <x v="1"/>
    <x v="1"/>
    <n v="14"/>
    <x v="0"/>
    <x v="0"/>
    <m/>
  </r>
  <r>
    <x v="0"/>
    <x v="0"/>
    <n v="147637"/>
    <x v="28"/>
    <x v="28"/>
    <m/>
    <x v="0"/>
    <x v="1"/>
    <x v="0"/>
    <d v="2021-04-28T00:00:00"/>
    <s v="Single"/>
    <x v="1"/>
    <x v="4"/>
    <n v="14"/>
    <x v="0"/>
    <x v="0"/>
    <m/>
  </r>
  <r>
    <x v="0"/>
    <x v="0"/>
    <n v="183900"/>
    <x v="29"/>
    <x v="0"/>
    <m/>
    <x v="5"/>
    <x v="1"/>
    <x v="0"/>
    <d v="2021-04-23T00:00:00"/>
    <s v="Single"/>
    <x v="2"/>
    <x v="1"/>
    <n v="13"/>
    <x v="0"/>
    <x v="0"/>
    <m/>
  </r>
  <r>
    <x v="0"/>
    <x v="1"/>
    <n v="110700"/>
    <x v="30"/>
    <x v="29"/>
    <m/>
    <x v="5"/>
    <x v="1"/>
    <x v="0"/>
    <d v="2021-04-21T00:00:00"/>
    <s v="Single"/>
    <x v="2"/>
    <x v="4"/>
    <n v="13"/>
    <x v="0"/>
    <x v="0"/>
    <m/>
  </r>
  <r>
    <x v="0"/>
    <x v="0"/>
    <n v="188035"/>
    <x v="31"/>
    <x v="30"/>
    <m/>
    <x v="4"/>
    <x v="1"/>
    <x v="0"/>
    <d v="2022-08-08T00:00:00"/>
    <s v="Single"/>
    <x v="1"/>
    <x v="0"/>
    <n v="7"/>
    <x v="0"/>
    <x v="0"/>
    <m/>
  </r>
  <r>
    <x v="0"/>
    <x v="1"/>
    <n v="131049"/>
    <x v="32"/>
    <x v="31"/>
    <m/>
    <x v="5"/>
    <x v="1"/>
    <x v="0"/>
    <d v="2021-12-31T00:00:00"/>
    <s v="Single"/>
    <x v="2"/>
    <x v="0"/>
    <n v="13"/>
    <x v="0"/>
    <x v="0"/>
    <m/>
  </r>
  <r>
    <x v="1"/>
    <x v="1"/>
    <n v="180582"/>
    <x v="33"/>
    <x v="32"/>
    <d v="2021-06-30T00:00:00"/>
    <x v="4"/>
    <x v="1"/>
    <x v="1"/>
    <d v="2021-05-27T00:00:00"/>
    <s v="Single"/>
    <x v="3"/>
    <x v="1"/>
    <n v="0"/>
    <x v="0"/>
    <x v="0"/>
    <m/>
  </r>
  <r>
    <x v="0"/>
    <x v="1"/>
    <n v="126718"/>
    <x v="34"/>
    <x v="33"/>
    <m/>
    <x v="5"/>
    <x v="1"/>
    <x v="0"/>
    <d v="2021-10-03T00:00:00"/>
    <s v="Single"/>
    <x v="1"/>
    <x v="1"/>
    <n v="6.5"/>
    <x v="0"/>
    <x v="0"/>
    <m/>
  </r>
  <r>
    <x v="0"/>
    <x v="1"/>
    <n v="192425"/>
    <x v="35"/>
    <x v="34"/>
    <m/>
    <x v="0"/>
    <x v="1"/>
    <x v="0"/>
    <d v="2021-05-22T00:00:00"/>
    <s v="Single"/>
    <x v="1"/>
    <x v="4"/>
    <n v="8"/>
    <x v="0"/>
    <x v="0"/>
    <m/>
  </r>
  <r>
    <x v="0"/>
    <x v="1"/>
    <n v="174008"/>
    <x v="36"/>
    <x v="35"/>
    <m/>
    <x v="4"/>
    <x v="1"/>
    <x v="1"/>
    <d v="2021-12-10T00:00:00"/>
    <s v="Single"/>
    <x v="1"/>
    <x v="1"/>
    <n v="12"/>
    <x v="0"/>
    <x v="0"/>
    <m/>
  </r>
  <r>
    <x v="1"/>
    <x v="1"/>
    <n v="129735"/>
    <x v="37"/>
    <x v="36"/>
    <d v="2022-06-29T00:00:00"/>
    <x v="5"/>
    <x v="1"/>
    <x v="0"/>
    <d v="2021-01-15T00:00:00"/>
    <s v="Single"/>
    <x v="1"/>
    <x v="0"/>
    <n v="5"/>
    <x v="0"/>
    <x v="0"/>
    <m/>
  </r>
  <r>
    <x v="1"/>
    <x v="1"/>
    <n v="117328"/>
    <x v="38"/>
    <x v="37"/>
    <d v="2022-04-30T00:00:00"/>
    <x v="5"/>
    <x v="1"/>
    <x v="0"/>
    <d v="2021-02-09T00:00:00"/>
    <s v="Married"/>
    <x v="1"/>
    <x v="0"/>
    <n v="4.8"/>
    <x v="0"/>
    <x v="0"/>
    <m/>
  </r>
  <r>
    <x v="0"/>
    <x v="1"/>
    <n v="110646"/>
    <x v="39"/>
    <x v="1"/>
    <m/>
    <x v="3"/>
    <x v="1"/>
    <x v="0"/>
    <d v="2021-01-20T00:00:00"/>
    <s v="Married"/>
    <x v="1"/>
    <x v="4"/>
    <n v="9"/>
    <x v="0"/>
    <x v="0"/>
    <m/>
  </r>
  <r>
    <x v="0"/>
    <x v="1"/>
    <n v="114446"/>
    <x v="40"/>
    <x v="1"/>
    <m/>
    <x v="6"/>
    <x v="1"/>
    <x v="0"/>
    <d v="2021-11-24T00:00:00"/>
    <s v="Married"/>
    <x v="2"/>
    <x v="4"/>
    <n v="8"/>
    <x v="0"/>
    <x v="0"/>
    <m/>
  </r>
  <r>
    <x v="0"/>
    <x v="1"/>
    <n v="189125"/>
    <x v="41"/>
    <x v="1"/>
    <m/>
    <x v="1"/>
    <x v="1"/>
    <x v="0"/>
    <d v="2021-11-04T00:00:00"/>
    <s v="Married"/>
    <x v="2"/>
    <x v="0"/>
    <n v="17"/>
    <x v="0"/>
    <x v="0"/>
    <m/>
  </r>
  <r>
    <x v="0"/>
    <x v="0"/>
    <n v="183930"/>
    <x v="42"/>
    <x v="1"/>
    <m/>
    <x v="1"/>
    <x v="1"/>
    <x v="0"/>
    <d v="2021-04-23T00:00:00"/>
    <s v="Married"/>
    <x v="2"/>
    <x v="1"/>
    <n v="13"/>
    <x v="0"/>
    <x v="0"/>
    <m/>
  </r>
  <r>
    <x v="0"/>
    <x v="1"/>
    <n v="110730"/>
    <x v="43"/>
    <x v="1"/>
    <m/>
    <x v="2"/>
    <x v="1"/>
    <x v="0"/>
    <d v="2021-04-21T00:00:00"/>
    <s v="Single"/>
    <x v="2"/>
    <x v="4"/>
    <n v="13"/>
    <x v="0"/>
    <x v="0"/>
    <m/>
  </r>
  <r>
    <x v="0"/>
    <x v="1"/>
    <n v="131079"/>
    <x v="44"/>
    <x v="1"/>
    <m/>
    <x v="0"/>
    <x v="1"/>
    <x v="0"/>
    <d v="2021-12-31T00:00:00"/>
    <s v="Single"/>
    <x v="2"/>
    <x v="0"/>
    <n v="13"/>
    <x v="0"/>
    <x v="0"/>
    <m/>
  </r>
  <r>
    <x v="0"/>
    <x v="1"/>
    <n v="180612"/>
    <x v="45"/>
    <x v="1"/>
    <m/>
    <x v="4"/>
    <x v="1"/>
    <x v="1"/>
    <d v="2021-05-27T00:00:00"/>
    <s v="Single"/>
    <x v="3"/>
    <x v="1"/>
    <n v="0"/>
    <x v="0"/>
    <x v="0"/>
    <m/>
  </r>
  <r>
    <x v="1"/>
    <x v="1"/>
    <n v="154702"/>
    <x v="46"/>
    <x v="38"/>
    <d v="2024-01-20T00:00:00"/>
    <x v="5"/>
    <x v="1"/>
    <x v="1"/>
    <d v="2021-11-07T00:00:00"/>
    <s v="Married"/>
    <x v="3"/>
    <x v="0"/>
    <n v="0"/>
    <x v="0"/>
    <x v="0"/>
    <m/>
  </r>
  <r>
    <x v="0"/>
    <x v="1"/>
    <n v="101286"/>
    <x v="47"/>
    <x v="38"/>
    <m/>
    <x v="5"/>
    <x v="1"/>
    <x v="0"/>
    <d v="2021-03-14T00:00:00"/>
    <s v="Single"/>
    <x v="2"/>
    <x v="2"/>
    <n v="14"/>
    <x v="0"/>
    <x v="0"/>
    <m/>
  </r>
  <r>
    <x v="1"/>
    <x v="1"/>
    <n v="137383"/>
    <x v="48"/>
    <x v="39"/>
    <d v="2021-03-03T00:00:00"/>
    <x v="3"/>
    <x v="1"/>
    <x v="0"/>
    <d v="2021-01-24T00:00:00"/>
    <s v="Single"/>
    <x v="2"/>
    <x v="0"/>
    <n v="9"/>
    <x v="0"/>
    <x v="0"/>
    <m/>
  </r>
  <r>
    <x v="1"/>
    <x v="1"/>
    <n v="185704"/>
    <x v="49"/>
    <x v="39"/>
    <d v="2021-07-18T00:00:00"/>
    <x v="4"/>
    <x v="1"/>
    <x v="0"/>
    <d v="2021-12-06T00:00:00"/>
    <s v="Single"/>
    <x v="3"/>
    <x v="5"/>
    <n v="0"/>
    <x v="0"/>
    <x v="0"/>
    <m/>
  </r>
  <r>
    <x v="1"/>
    <x v="1"/>
    <n v="151727"/>
    <x v="50"/>
    <x v="39"/>
    <d v="2023-06-29T00:00:00"/>
    <x v="4"/>
    <x v="1"/>
    <x v="0"/>
    <d v="2021-02-03T00:00:00"/>
    <s v="Single"/>
    <x v="3"/>
    <x v="5"/>
    <n v="0"/>
    <x v="0"/>
    <x v="0"/>
    <m/>
  </r>
  <r>
    <x v="1"/>
    <x v="1"/>
    <n v="135167"/>
    <x v="51"/>
    <x v="39"/>
    <d v="2023-09-26T00:00:00"/>
    <x v="4"/>
    <x v="1"/>
    <x v="0"/>
    <d v="2021-03-28T00:00:00"/>
    <s v="Single"/>
    <x v="3"/>
    <x v="5"/>
    <n v="0"/>
    <x v="0"/>
    <x v="0"/>
    <m/>
  </r>
  <r>
    <x v="1"/>
    <x v="1"/>
    <n v="100971"/>
    <x v="52"/>
    <x v="39"/>
    <d v="2023-12-23T00:00:00"/>
    <x v="4"/>
    <x v="1"/>
    <x v="0"/>
    <d v="2021-09-08T00:00:00"/>
    <s v="Single"/>
    <x v="3"/>
    <x v="5"/>
    <n v="0"/>
    <x v="0"/>
    <x v="0"/>
    <m/>
  </r>
  <r>
    <x v="1"/>
    <x v="1"/>
    <n v="145787"/>
    <x v="53"/>
    <x v="39"/>
    <d v="2024-01-27T00:00:00"/>
    <x v="4"/>
    <x v="1"/>
    <x v="1"/>
    <d v="2021-10-14T00:00:00"/>
    <s v="Married"/>
    <x v="3"/>
    <x v="5"/>
    <n v="0"/>
    <x v="0"/>
    <x v="0"/>
    <m/>
  </r>
  <r>
    <x v="1"/>
    <x v="1"/>
    <n v="170924"/>
    <x v="54"/>
    <x v="39"/>
    <d v="2024-03-17T00:00:00"/>
    <x v="6"/>
    <x v="1"/>
    <x v="0"/>
    <d v="2021-10-01T00:00:00"/>
    <s v="Single"/>
    <x v="3"/>
    <x v="5"/>
    <n v="0"/>
    <x v="0"/>
    <x v="0"/>
    <m/>
  </r>
  <r>
    <x v="1"/>
    <x v="1"/>
    <n v="129573"/>
    <x v="55"/>
    <x v="39"/>
    <d v="2024-09-29T00:00:00"/>
    <x v="1"/>
    <x v="1"/>
    <x v="1"/>
    <d v="2021-09-16T00:00:00"/>
    <s v="Single"/>
    <x v="1"/>
    <x v="5"/>
    <n v="0"/>
    <x v="0"/>
    <x v="0"/>
    <m/>
  </r>
  <r>
    <x v="0"/>
    <x v="1"/>
    <n v="115742"/>
    <x v="56"/>
    <x v="39"/>
    <m/>
    <x v="1"/>
    <x v="1"/>
    <x v="1"/>
    <d v="2021-09-23T00:00:00"/>
    <s v="Single"/>
    <x v="1"/>
    <x v="5"/>
    <n v="0"/>
    <x v="0"/>
    <x v="0"/>
    <m/>
  </r>
  <r>
    <x v="0"/>
    <x v="1"/>
    <n v="126064"/>
    <x v="57"/>
    <x v="39"/>
    <m/>
    <x v="1"/>
    <x v="1"/>
    <x v="1"/>
    <d v="2021-05-30T00:00:00"/>
    <s v="Single"/>
    <x v="1"/>
    <x v="5"/>
    <n v="0"/>
    <x v="0"/>
    <x v="0"/>
    <m/>
  </r>
  <r>
    <x v="0"/>
    <x v="1"/>
    <n v="173140"/>
    <x v="58"/>
    <x v="39"/>
    <m/>
    <x v="6"/>
    <x v="1"/>
    <x v="0"/>
    <d v="2021-07-13T00:00:00"/>
    <s v="Single"/>
    <x v="1"/>
    <x v="5"/>
    <n v="0"/>
    <x v="0"/>
    <x v="0"/>
    <m/>
  </r>
  <r>
    <x v="1"/>
    <x v="1"/>
    <n v="181592"/>
    <x v="59"/>
    <x v="40"/>
    <d v="2024-02-03T00:00:00"/>
    <x v="6"/>
    <x v="1"/>
    <x v="0"/>
    <d v="2021-01-24T00:00:00"/>
    <s v="Married"/>
    <x v="2"/>
    <x v="5"/>
    <n v="12"/>
    <x v="0"/>
    <x v="0"/>
    <m/>
  </r>
  <r>
    <x v="1"/>
    <x v="1"/>
    <n v="144158"/>
    <x v="60"/>
    <x v="41"/>
    <d v="2023-03-31T00:00:00"/>
    <x v="0"/>
    <x v="1"/>
    <x v="0"/>
    <d v="2021-04-10T00:00:00"/>
    <s v="Married"/>
    <x v="1"/>
    <x v="1"/>
    <n v="6"/>
    <x v="0"/>
    <x v="0"/>
    <m/>
  </r>
  <r>
    <x v="0"/>
    <x v="1"/>
    <n v="178955"/>
    <x v="61"/>
    <x v="42"/>
    <m/>
    <x v="6"/>
    <x v="1"/>
    <x v="0"/>
    <d v="2021-03-18T00:00:00"/>
    <s v="Single"/>
    <x v="1"/>
    <x v="1"/>
    <n v="8"/>
    <x v="0"/>
    <x v="0"/>
    <m/>
  </r>
  <r>
    <x v="1"/>
    <x v="1"/>
    <n v="110616"/>
    <x v="62"/>
    <x v="43"/>
    <d v="2022-03-31T00:00:00"/>
    <x v="0"/>
    <x v="1"/>
    <x v="0"/>
    <d v="2021-01-20T00:00:00"/>
    <s v="Married"/>
    <x v="1"/>
    <x v="4"/>
    <n v="9"/>
    <x v="0"/>
    <x v="0"/>
    <m/>
  </r>
  <r>
    <x v="1"/>
    <x v="1"/>
    <n v="120981"/>
    <x v="63"/>
    <x v="44"/>
    <d v="2023-07-01T00:00:00"/>
    <x v="0"/>
    <x v="1"/>
    <x v="1"/>
    <d v="2021-07-22T00:00:00"/>
    <s v="Single"/>
    <x v="3"/>
    <x v="0"/>
    <n v="0"/>
    <x v="0"/>
    <x v="0"/>
    <m/>
  </r>
  <r>
    <x v="1"/>
    <x v="1"/>
    <n v="140182"/>
    <x v="64"/>
    <x v="45"/>
    <d v="2022-03-15T00:00:00"/>
    <x v="4"/>
    <x v="1"/>
    <x v="1"/>
    <d v="2021-02-08T00:00:00"/>
    <s v="Single"/>
    <x v="3"/>
    <x v="0"/>
    <n v="0"/>
    <x v="1"/>
    <x v="0"/>
    <m/>
  </r>
  <r>
    <x v="1"/>
    <x v="1"/>
    <n v="174057"/>
    <x v="65"/>
    <x v="45"/>
    <d v="2023-02-08T00:00:00"/>
    <x v="4"/>
    <x v="1"/>
    <x v="0"/>
    <d v="2021-11-11T00:00:00"/>
    <s v="Married"/>
    <x v="1"/>
    <x v="0"/>
    <n v="6"/>
    <x v="1"/>
    <x v="0"/>
    <m/>
  </r>
  <r>
    <x v="1"/>
    <x v="1"/>
    <n v="124194"/>
    <x v="66"/>
    <x v="46"/>
    <d v="2022-03-10T00:00:00"/>
    <x v="1"/>
    <x v="1"/>
    <x v="0"/>
    <d v="2021-01-25T00:00:00"/>
    <s v="Married"/>
    <x v="2"/>
    <x v="1"/>
    <n v="13"/>
    <x v="1"/>
    <x v="0"/>
    <m/>
  </r>
  <r>
    <x v="1"/>
    <x v="1"/>
    <n v="185420"/>
    <x v="67"/>
    <x v="47"/>
    <d v="2023-09-30T00:00:00"/>
    <x v="2"/>
    <x v="1"/>
    <x v="0"/>
    <d v="2021-06-24T00:00:00"/>
    <s v="Married"/>
    <x v="1"/>
    <x v="2"/>
    <n v="5"/>
    <x v="1"/>
    <x v="0"/>
    <m/>
  </r>
  <r>
    <x v="1"/>
    <x v="1"/>
    <n v="184945"/>
    <x v="68"/>
    <x v="48"/>
    <d v="2022-07-06T00:00:00"/>
    <x v="1"/>
    <x v="1"/>
    <x v="0"/>
    <d v="2021-09-27T00:00:00"/>
    <s v="Married"/>
    <x v="1"/>
    <x v="1"/>
    <n v="10"/>
    <x v="1"/>
    <x v="0"/>
    <m/>
  </r>
  <r>
    <x v="0"/>
    <x v="1"/>
    <n v="129852"/>
    <x v="69"/>
    <x v="49"/>
    <m/>
    <x v="4"/>
    <x v="1"/>
    <x v="0"/>
    <d v="2021-01-04T00:00:00"/>
    <s v="Single"/>
    <x v="2"/>
    <x v="0"/>
    <n v="10"/>
    <x v="1"/>
    <x v="0"/>
    <m/>
  </r>
  <r>
    <x v="1"/>
    <x v="1"/>
    <n v="139272"/>
    <x v="70"/>
    <x v="50"/>
    <d v="2023-06-30T00:00:00"/>
    <x v="0"/>
    <x v="1"/>
    <x v="1"/>
    <d v="2021-06-16T00:00:00"/>
    <s v="Married"/>
    <x v="1"/>
    <x v="0"/>
    <n v="8"/>
    <x v="1"/>
    <x v="0"/>
    <m/>
  </r>
  <r>
    <x v="0"/>
    <x v="1"/>
    <n v="194976"/>
    <x v="71"/>
    <x v="51"/>
    <m/>
    <x v="4"/>
    <x v="1"/>
    <x v="1"/>
    <d v="2021-01-04T00:00:00"/>
    <s v="Single"/>
    <x v="1"/>
    <x v="0"/>
    <n v="3.5"/>
    <x v="1"/>
    <x v="0"/>
    <m/>
  </r>
  <r>
    <x v="0"/>
    <x v="1"/>
    <n v="132557"/>
    <x v="72"/>
    <x v="52"/>
    <m/>
    <x v="1"/>
    <x v="1"/>
    <x v="1"/>
    <d v="2021-08-21T00:00:00"/>
    <s v="Single"/>
    <x v="1"/>
    <x v="2"/>
    <n v="7"/>
    <x v="1"/>
    <x v="0"/>
    <m/>
  </r>
  <r>
    <x v="1"/>
    <x v="2"/>
    <n v="187280"/>
    <x v="73"/>
    <x v="53"/>
    <d v="2022-02-19T00:00:00"/>
    <x v="4"/>
    <x v="1"/>
    <x v="1"/>
    <d v="2021-09-16T00:00:00"/>
    <s v="Single"/>
    <x v="3"/>
    <x v="0"/>
    <n v="0"/>
    <x v="1"/>
    <x v="1"/>
    <m/>
  </r>
  <r>
    <x v="0"/>
    <x v="2"/>
    <n v="190396"/>
    <x v="74"/>
    <x v="53"/>
    <m/>
    <x v="4"/>
    <x v="1"/>
    <x v="0"/>
    <d v="2021-11-13T00:00:00"/>
    <s v="Single"/>
    <x v="3"/>
    <x v="0"/>
    <n v="0"/>
    <x v="1"/>
    <x v="1"/>
    <m/>
  </r>
  <r>
    <x v="2"/>
    <x v="1"/>
    <n v="161242"/>
    <x v="75"/>
    <x v="54"/>
    <m/>
    <x v="3"/>
    <x v="1"/>
    <x v="0"/>
    <d v="2021-12-26T00:00:00"/>
    <s v="Married"/>
    <x v="1"/>
    <x v="0"/>
    <n v="10"/>
    <x v="1"/>
    <x v="1"/>
    <m/>
  </r>
  <r>
    <x v="1"/>
    <x v="1"/>
    <n v="156965"/>
    <x v="76"/>
    <x v="55"/>
    <d v="2022-03-16T00:00:00"/>
    <x v="4"/>
    <x v="1"/>
    <x v="1"/>
    <d v="2021-02-20T00:00:00"/>
    <s v="Married"/>
    <x v="1"/>
    <x v="0"/>
    <n v="11"/>
    <x v="1"/>
    <x v="1"/>
    <m/>
  </r>
  <r>
    <x v="1"/>
    <x v="1"/>
    <n v="192455"/>
    <x v="77"/>
    <x v="56"/>
    <d v="2021-02-06T00:00:00"/>
    <x v="0"/>
    <x v="1"/>
    <x v="0"/>
    <d v="2021-05-22T00:00:00"/>
    <s v="Married"/>
    <x v="1"/>
    <x v="4"/>
    <n v="8"/>
    <x v="1"/>
    <x v="1"/>
    <m/>
  </r>
  <r>
    <x v="1"/>
    <x v="1"/>
    <n v="174038"/>
    <x v="78"/>
    <x v="56"/>
    <d v="2021-03-27T00:00:00"/>
    <x v="4"/>
    <x v="1"/>
    <x v="1"/>
    <d v="2021-12-10T00:00:00"/>
    <s v="Married"/>
    <x v="1"/>
    <x v="1"/>
    <n v="12"/>
    <x v="1"/>
    <x v="1"/>
    <m/>
  </r>
  <r>
    <x v="0"/>
    <x v="1"/>
    <n v="129765"/>
    <x v="79"/>
    <x v="56"/>
    <m/>
    <x v="0"/>
    <x v="1"/>
    <x v="0"/>
    <d v="2021-01-15T00:00:00"/>
    <s v="Single"/>
    <x v="1"/>
    <x v="0"/>
    <n v="5"/>
    <x v="1"/>
    <x v="1"/>
    <m/>
  </r>
  <r>
    <x v="0"/>
    <x v="1"/>
    <n v="154732"/>
    <x v="80"/>
    <x v="57"/>
    <m/>
    <x v="5"/>
    <x v="1"/>
    <x v="1"/>
    <d v="2021-11-07T00:00:00"/>
    <s v="Single"/>
    <x v="3"/>
    <x v="0"/>
    <n v="0"/>
    <x v="1"/>
    <x v="1"/>
    <m/>
  </r>
  <r>
    <x v="0"/>
    <x v="1"/>
    <n v="137413"/>
    <x v="81"/>
    <x v="58"/>
    <m/>
    <x v="5"/>
    <x v="1"/>
    <x v="0"/>
    <d v="2021-01-24T00:00:00"/>
    <s v="Single"/>
    <x v="2"/>
    <x v="0"/>
    <n v="9"/>
    <x v="1"/>
    <x v="1"/>
    <m/>
  </r>
  <r>
    <x v="0"/>
    <x v="1"/>
    <n v="185734"/>
    <x v="82"/>
    <x v="58"/>
    <m/>
    <x v="4"/>
    <x v="1"/>
    <x v="0"/>
    <d v="2021-12-06T00:00:00"/>
    <s v="Single"/>
    <x v="3"/>
    <x v="5"/>
    <n v="0"/>
    <x v="1"/>
    <x v="1"/>
    <m/>
  </r>
  <r>
    <x v="0"/>
    <x v="1"/>
    <n v="142749"/>
    <x v="83"/>
    <x v="4"/>
    <m/>
    <x v="4"/>
    <x v="1"/>
    <x v="0"/>
    <d v="2021-07-04T00:00:00"/>
    <s v="Single"/>
    <x v="1"/>
    <x v="0"/>
    <n v="17"/>
    <x v="1"/>
    <x v="1"/>
    <m/>
  </r>
  <r>
    <x v="1"/>
    <x v="1"/>
    <n v="116657"/>
    <x v="84"/>
    <x v="59"/>
    <d v="2022-06-28T00:00:00"/>
    <x v="4"/>
    <x v="1"/>
    <x v="0"/>
    <d v="2021-04-14T00:00:00"/>
    <s v="Single"/>
    <x v="1"/>
    <x v="0"/>
    <n v="4.5999999999999996"/>
    <x v="1"/>
    <x v="1"/>
    <m/>
  </r>
  <r>
    <x v="0"/>
    <x v="1"/>
    <n v="144530"/>
    <x v="85"/>
    <x v="60"/>
    <m/>
    <x v="4"/>
    <x v="1"/>
    <x v="0"/>
    <d v="2021-03-20T00:00:00"/>
    <s v="Single"/>
    <x v="1"/>
    <x v="6"/>
    <n v="14"/>
    <x v="1"/>
    <x v="1"/>
    <m/>
  </r>
  <r>
    <x v="0"/>
    <x v="1"/>
    <n v="101259"/>
    <x v="86"/>
    <x v="61"/>
    <m/>
    <x v="1"/>
    <x v="1"/>
    <x v="0"/>
    <d v="2021-11-27T00:00:00"/>
    <s v="Married"/>
    <x v="2"/>
    <x v="0"/>
    <n v="12"/>
    <x v="2"/>
    <x v="1"/>
    <m/>
  </r>
  <r>
    <x v="0"/>
    <x v="1"/>
    <n v="122323"/>
    <x v="87"/>
    <x v="62"/>
    <m/>
    <x v="2"/>
    <x v="1"/>
    <x v="1"/>
    <d v="2021-08-18T00:00:00"/>
    <s v="Married"/>
    <x v="1"/>
    <x v="6"/>
    <n v="14"/>
    <x v="2"/>
    <x v="1"/>
    <m/>
  </r>
  <r>
    <x v="0"/>
    <x v="1"/>
    <n v="136489"/>
    <x v="88"/>
    <x v="63"/>
    <m/>
    <x v="4"/>
    <x v="1"/>
    <x v="0"/>
    <d v="2021-02-03T00:00:00"/>
    <s v="Married"/>
    <x v="1"/>
    <x v="6"/>
    <n v="5.3"/>
    <x v="2"/>
    <x v="1"/>
    <m/>
  </r>
  <r>
    <x v="0"/>
    <x v="1"/>
    <n v="107161"/>
    <x v="89"/>
    <x v="64"/>
    <m/>
    <x v="0"/>
    <x v="1"/>
    <x v="1"/>
    <d v="2021-07-25T00:00:00"/>
    <s v="Single"/>
    <x v="3"/>
    <x v="6"/>
    <n v="2.5"/>
    <x v="2"/>
    <x v="1"/>
    <m/>
  </r>
  <r>
    <x v="0"/>
    <x v="1"/>
    <n v="182061"/>
    <x v="90"/>
    <x v="64"/>
    <m/>
    <x v="4"/>
    <x v="1"/>
    <x v="0"/>
    <d v="2021-05-06T00:00:00"/>
    <s v="Single"/>
    <x v="1"/>
    <x v="6"/>
    <n v="2.11"/>
    <x v="2"/>
    <x v="1"/>
    <m/>
  </r>
  <r>
    <x v="0"/>
    <x v="1"/>
    <n v="123190"/>
    <x v="91"/>
    <x v="65"/>
    <m/>
    <x v="4"/>
    <x v="1"/>
    <x v="1"/>
    <d v="2021-01-18T00:00:00"/>
    <s v="Single"/>
    <x v="3"/>
    <x v="6"/>
    <n v="0"/>
    <x v="2"/>
    <x v="1"/>
    <m/>
  </r>
  <r>
    <x v="0"/>
    <x v="1"/>
    <n v="118638"/>
    <x v="92"/>
    <x v="65"/>
    <m/>
    <x v="4"/>
    <x v="1"/>
    <x v="0"/>
    <d v="2021-11-24T00:00:00"/>
    <s v="Married"/>
    <x v="1"/>
    <x v="6"/>
    <n v="15"/>
    <x v="2"/>
    <x v="1"/>
    <m/>
  </r>
  <r>
    <x v="0"/>
    <x v="1"/>
    <n v="132330"/>
    <x v="93"/>
    <x v="66"/>
    <m/>
    <x v="3"/>
    <x v="1"/>
    <x v="0"/>
    <d v="2021-10-14T00:00:00"/>
    <s v="Married"/>
    <x v="2"/>
    <x v="5"/>
    <n v="14"/>
    <x v="2"/>
    <x v="1"/>
    <m/>
  </r>
  <r>
    <x v="0"/>
    <x v="1"/>
    <n v="191594"/>
    <x v="94"/>
    <x v="67"/>
    <m/>
    <x v="2"/>
    <x v="1"/>
    <x v="0"/>
    <d v="2021-09-07T00:00:00"/>
    <s v="Married"/>
    <x v="1"/>
    <x v="0"/>
    <n v="8"/>
    <x v="2"/>
    <x v="1"/>
    <m/>
  </r>
  <r>
    <x v="2"/>
    <x v="1"/>
    <n v="152991"/>
    <x v="95"/>
    <x v="68"/>
    <m/>
    <x v="1"/>
    <x v="1"/>
    <x v="0"/>
    <d v="2021-02-18T00:00:00"/>
    <s v="Married"/>
    <x v="1"/>
    <x v="0"/>
    <n v="15"/>
    <x v="2"/>
    <x v="1"/>
    <m/>
  </r>
  <r>
    <x v="1"/>
    <x v="2"/>
    <n v="101996"/>
    <x v="96"/>
    <x v="69"/>
    <d v="2023-07-01T00:00:00"/>
    <x v="1"/>
    <x v="1"/>
    <x v="0"/>
    <d v="2021-08-06T00:00:00"/>
    <s v="Single"/>
    <x v="3"/>
    <x v="6"/>
    <n v="1"/>
    <x v="2"/>
    <x v="2"/>
    <m/>
  </r>
  <r>
    <x v="1"/>
    <x v="1"/>
    <n v="138939"/>
    <x v="97"/>
    <x v="8"/>
    <d v="2023-05-08T00:00:00"/>
    <x v="1"/>
    <x v="1"/>
    <x v="1"/>
    <d v="2021-04-03T00:00:00"/>
    <s v="Married"/>
    <x v="1"/>
    <x v="0"/>
    <n v="6"/>
    <x v="2"/>
    <x v="2"/>
    <m/>
  </r>
  <r>
    <x v="1"/>
    <x v="1"/>
    <n v="198396"/>
    <x v="98"/>
    <x v="70"/>
    <d v="2024-02-02T00:00:00"/>
    <x v="1"/>
    <x v="1"/>
    <x v="0"/>
    <d v="2021-01-12T00:00:00"/>
    <s v="Married"/>
    <x v="2"/>
    <x v="1"/>
    <n v="18"/>
    <x v="2"/>
    <x v="2"/>
    <m/>
  </r>
  <r>
    <x v="0"/>
    <x v="1"/>
    <n v="194143"/>
    <x v="99"/>
    <x v="70"/>
    <m/>
    <x v="4"/>
    <x v="1"/>
    <x v="0"/>
    <d v="2021-02-21T00:00:00"/>
    <s v="Married"/>
    <x v="1"/>
    <x v="6"/>
    <n v="6.5"/>
    <x v="2"/>
    <x v="2"/>
    <m/>
  </r>
  <r>
    <x v="2"/>
    <x v="1"/>
    <n v="134729"/>
    <x v="100"/>
    <x v="71"/>
    <m/>
    <x v="1"/>
    <x v="1"/>
    <x v="0"/>
    <d v="2021-01-10T00:00:00"/>
    <s v="Single"/>
    <x v="1"/>
    <x v="0"/>
    <n v="7"/>
    <x v="2"/>
    <x v="2"/>
    <m/>
  </r>
  <r>
    <x v="1"/>
    <x v="1"/>
    <n v="186526"/>
    <x v="101"/>
    <x v="10"/>
    <d v="2023-12-09T00:00:00"/>
    <x v="4"/>
    <x v="1"/>
    <x v="1"/>
    <d v="2021-12-10T00:00:00"/>
    <s v="Married"/>
    <x v="3"/>
    <x v="6"/>
    <n v="1.8"/>
    <x v="2"/>
    <x v="2"/>
    <m/>
  </r>
  <r>
    <x v="0"/>
    <x v="1"/>
    <n v="115395"/>
    <x v="102"/>
    <x v="10"/>
    <m/>
    <x v="4"/>
    <x v="1"/>
    <x v="1"/>
    <d v="2021-10-26T00:00:00"/>
    <s v="Single"/>
    <x v="3"/>
    <x v="6"/>
    <n v="3.5"/>
    <x v="2"/>
    <x v="2"/>
    <m/>
  </r>
  <r>
    <x v="0"/>
    <x v="1"/>
    <n v="160948"/>
    <x v="103"/>
    <x v="10"/>
    <m/>
    <x v="4"/>
    <x v="1"/>
    <x v="1"/>
    <d v="2021-10-03T00:00:00"/>
    <s v="Single"/>
    <x v="3"/>
    <x v="6"/>
    <n v="0"/>
    <x v="2"/>
    <x v="2"/>
    <m/>
  </r>
  <r>
    <x v="0"/>
    <x v="1"/>
    <n v="163814"/>
    <x v="104"/>
    <x v="10"/>
    <m/>
    <x v="0"/>
    <x v="1"/>
    <x v="0"/>
    <d v="2021-01-12T00:00:00"/>
    <s v="Single"/>
    <x v="3"/>
    <x v="6"/>
    <n v="2"/>
    <x v="2"/>
    <x v="2"/>
    <m/>
  </r>
  <r>
    <x v="0"/>
    <x v="1"/>
    <n v="163161"/>
    <x v="105"/>
    <x v="10"/>
    <m/>
    <x v="4"/>
    <x v="1"/>
    <x v="0"/>
    <d v="2021-01-19T00:00:00"/>
    <s v="Married"/>
    <x v="1"/>
    <x v="6"/>
    <n v="13"/>
    <x v="2"/>
    <x v="2"/>
    <m/>
  </r>
  <r>
    <x v="0"/>
    <x v="1"/>
    <n v="173240"/>
    <x v="106"/>
    <x v="72"/>
    <m/>
    <x v="0"/>
    <x v="1"/>
    <x v="1"/>
    <d v="2021-02-02T00:00:00"/>
    <s v="Married"/>
    <x v="1"/>
    <x v="6"/>
    <n v="8.1999999999999993"/>
    <x v="2"/>
    <x v="2"/>
    <m/>
  </r>
  <r>
    <x v="0"/>
    <x v="1"/>
    <n v="109673"/>
    <x v="107"/>
    <x v="73"/>
    <m/>
    <x v="4"/>
    <x v="1"/>
    <x v="0"/>
    <d v="2021-05-10T00:00:00"/>
    <s v="Single"/>
    <x v="3"/>
    <x v="6"/>
    <n v="7.6"/>
    <x v="2"/>
    <x v="2"/>
    <m/>
  </r>
  <r>
    <x v="0"/>
    <x v="1"/>
    <n v="138302"/>
    <x v="108"/>
    <x v="74"/>
    <m/>
    <x v="4"/>
    <x v="1"/>
    <x v="0"/>
    <d v="2021-08-25T00:00:00"/>
    <s v="Single"/>
    <x v="3"/>
    <x v="6"/>
    <n v="6.2"/>
    <x v="2"/>
    <x v="2"/>
    <m/>
  </r>
  <r>
    <x v="2"/>
    <x v="1"/>
    <n v="126765"/>
    <x v="109"/>
    <x v="75"/>
    <m/>
    <x v="1"/>
    <x v="1"/>
    <x v="0"/>
    <d v="2021-01-21T00:00:00"/>
    <s v="Married"/>
    <x v="1"/>
    <x v="0"/>
    <n v="15"/>
    <x v="2"/>
    <x v="2"/>
    <m/>
  </r>
  <r>
    <x v="2"/>
    <x v="1"/>
    <n v="188099"/>
    <x v="110"/>
    <x v="76"/>
    <m/>
    <x v="1"/>
    <x v="1"/>
    <x v="0"/>
    <d v="2021-05-16T00:00:00"/>
    <s v="Married"/>
    <x v="1"/>
    <x v="0"/>
    <n v="16"/>
    <x v="2"/>
    <x v="2"/>
    <m/>
  </r>
  <r>
    <x v="0"/>
    <x v="2"/>
    <n v="115441"/>
    <x v="111"/>
    <x v="77"/>
    <m/>
    <x v="1"/>
    <x v="1"/>
    <x v="0"/>
    <d v="2021-06-30T00:00:00"/>
    <s v="Single"/>
    <x v="3"/>
    <x v="4"/>
    <n v="1.5"/>
    <x v="3"/>
    <x v="2"/>
    <m/>
  </r>
  <r>
    <x v="0"/>
    <x v="2"/>
    <n v="169669"/>
    <x v="112"/>
    <x v="78"/>
    <m/>
    <x v="1"/>
    <x v="1"/>
    <x v="1"/>
    <d v="2022-03-19T00:00:00"/>
    <s v="Married"/>
    <x v="1"/>
    <x v="2"/>
    <n v="6"/>
    <x v="3"/>
    <x v="2"/>
    <m/>
  </r>
  <r>
    <x v="0"/>
    <x v="1"/>
    <n v="100957"/>
    <x v="113"/>
    <x v="79"/>
    <m/>
    <x v="1"/>
    <x v="1"/>
    <x v="1"/>
    <d v="2022-03-12T00:00:00"/>
    <s v="Married"/>
    <x v="1"/>
    <x v="0"/>
    <n v="8"/>
    <x v="3"/>
    <x v="2"/>
    <m/>
  </r>
  <r>
    <x v="2"/>
    <x v="1"/>
    <n v="193737"/>
    <x v="114"/>
    <x v="80"/>
    <m/>
    <x v="1"/>
    <x v="1"/>
    <x v="0"/>
    <d v="2022-10-13T00:00:00"/>
    <s v="Married"/>
    <x v="1"/>
    <x v="0"/>
    <n v="11.5"/>
    <x v="3"/>
    <x v="2"/>
    <m/>
  </r>
  <r>
    <x v="0"/>
    <x v="1"/>
    <n v="180698"/>
    <x v="115"/>
    <x v="81"/>
    <m/>
    <x v="1"/>
    <x v="1"/>
    <x v="0"/>
    <d v="2022-03-09T00:00:00"/>
    <s v="Single"/>
    <x v="1"/>
    <x v="0"/>
    <n v="3.5"/>
    <x v="3"/>
    <x v="2"/>
    <m/>
  </r>
  <r>
    <x v="1"/>
    <x v="1"/>
    <n v="124433"/>
    <x v="116"/>
    <x v="82"/>
    <d v="2023-07-11T00:00:00"/>
    <x v="4"/>
    <x v="1"/>
    <x v="1"/>
    <d v="2022-11-02T00:00:00"/>
    <s v="Single"/>
    <x v="3"/>
    <x v="5"/>
    <n v="0"/>
    <x v="3"/>
    <x v="2"/>
    <m/>
  </r>
  <r>
    <x v="0"/>
    <x v="2"/>
    <n v="151636"/>
    <x v="117"/>
    <x v="14"/>
    <m/>
    <x v="1"/>
    <x v="1"/>
    <x v="0"/>
    <d v="2021-02-28T00:00:00"/>
    <s v="Single"/>
    <x v="3"/>
    <x v="5"/>
    <n v="1.8"/>
    <x v="3"/>
    <x v="2"/>
    <m/>
  </r>
  <r>
    <x v="0"/>
    <x v="2"/>
    <n v="173529"/>
    <x v="118"/>
    <x v="14"/>
    <m/>
    <x v="1"/>
    <x v="1"/>
    <x v="1"/>
    <d v="2021-01-08T00:00:00"/>
    <s v="Single"/>
    <x v="3"/>
    <x v="5"/>
    <n v="1.5"/>
    <x v="3"/>
    <x v="2"/>
    <m/>
  </r>
  <r>
    <x v="0"/>
    <x v="2"/>
    <n v="116633"/>
    <x v="119"/>
    <x v="14"/>
    <m/>
    <x v="1"/>
    <x v="1"/>
    <x v="1"/>
    <d v="2021-01-22T00:00:00"/>
    <s v="Single"/>
    <x v="3"/>
    <x v="5"/>
    <n v="0.11"/>
    <x v="3"/>
    <x v="2"/>
    <m/>
  </r>
  <r>
    <x v="0"/>
    <x v="2"/>
    <n v="160990"/>
    <x v="120"/>
    <x v="14"/>
    <m/>
    <x v="1"/>
    <x v="1"/>
    <x v="0"/>
    <d v="2022-08-31T00:00:00"/>
    <s v="Single"/>
    <x v="3"/>
    <x v="5"/>
    <n v="0"/>
    <x v="3"/>
    <x v="2"/>
    <m/>
  </r>
  <r>
    <x v="1"/>
    <x v="1"/>
    <n v="170513"/>
    <x v="121"/>
    <x v="83"/>
    <d v="2024-03-31T00:00:00"/>
    <x v="1"/>
    <x v="1"/>
    <x v="1"/>
    <d v="2022-05-31T00:00:00"/>
    <s v="Single"/>
    <x v="1"/>
    <x v="0"/>
    <n v="7"/>
    <x v="3"/>
    <x v="2"/>
    <m/>
  </r>
  <r>
    <x v="0"/>
    <x v="1"/>
    <n v="167822"/>
    <x v="122"/>
    <x v="84"/>
    <m/>
    <x v="1"/>
    <x v="1"/>
    <x v="0"/>
    <d v="2022-07-31T00:00:00"/>
    <s v="Married"/>
    <x v="3"/>
    <x v="5"/>
    <n v="7"/>
    <x v="3"/>
    <x v="2"/>
    <m/>
  </r>
  <r>
    <x v="0"/>
    <x v="1"/>
    <n v="161037"/>
    <x v="123"/>
    <x v="85"/>
    <m/>
    <x v="1"/>
    <x v="1"/>
    <x v="1"/>
    <d v="2022-03-09T00:00:00"/>
    <s v="Single"/>
    <x v="3"/>
    <x v="0"/>
    <n v="5"/>
    <x v="3"/>
    <x v="3"/>
    <m/>
  </r>
  <r>
    <x v="0"/>
    <x v="1"/>
    <n v="153255"/>
    <x v="124"/>
    <x v="86"/>
    <m/>
    <x v="1"/>
    <x v="1"/>
    <x v="1"/>
    <d v="2022-01-29T00:00:00"/>
    <s v="Single"/>
    <x v="3"/>
    <x v="2"/>
    <n v="3.8"/>
    <x v="3"/>
    <x v="3"/>
    <m/>
  </r>
  <r>
    <x v="0"/>
    <x v="1"/>
    <n v="123179"/>
    <x v="125"/>
    <x v="87"/>
    <m/>
    <x v="1"/>
    <x v="1"/>
    <x v="1"/>
    <d v="2022-02-20T00:00:00"/>
    <s v="Single"/>
    <x v="1"/>
    <x v="5"/>
    <n v="6.5"/>
    <x v="3"/>
    <x v="3"/>
    <m/>
  </r>
  <r>
    <x v="0"/>
    <x v="1"/>
    <n v="189554"/>
    <x v="126"/>
    <x v="88"/>
    <m/>
    <x v="1"/>
    <x v="1"/>
    <x v="1"/>
    <d v="2022-07-24T00:00:00"/>
    <s v="Married"/>
    <x v="1"/>
    <x v="5"/>
    <n v="8"/>
    <x v="3"/>
    <x v="3"/>
    <m/>
  </r>
  <r>
    <x v="0"/>
    <x v="1"/>
    <n v="186786"/>
    <x v="127"/>
    <x v="89"/>
    <m/>
    <x v="0"/>
    <x v="1"/>
    <x v="1"/>
    <d v="2022-09-15T00:00:00"/>
    <s v="Single"/>
    <x v="3"/>
    <x v="6"/>
    <n v="1.5"/>
    <x v="3"/>
    <x v="3"/>
    <m/>
  </r>
  <r>
    <x v="0"/>
    <x v="1"/>
    <n v="186818"/>
    <x v="128"/>
    <x v="90"/>
    <m/>
    <x v="0"/>
    <x v="1"/>
    <x v="0"/>
    <d v="2022-05-15T00:00:00"/>
    <s v="Single"/>
    <x v="1"/>
    <x v="6"/>
    <n v="7"/>
    <x v="3"/>
    <x v="3"/>
    <m/>
  </r>
  <r>
    <x v="0"/>
    <x v="1"/>
    <n v="147963"/>
    <x v="129"/>
    <x v="91"/>
    <m/>
    <x v="1"/>
    <x v="1"/>
    <x v="1"/>
    <d v="2022-02-28T00:00:00"/>
    <s v="Married"/>
    <x v="1"/>
    <x v="0"/>
    <n v="15"/>
    <x v="3"/>
    <x v="3"/>
    <m/>
  </r>
  <r>
    <x v="0"/>
    <x v="1"/>
    <n v="150614"/>
    <x v="130"/>
    <x v="92"/>
    <m/>
    <x v="1"/>
    <x v="1"/>
    <x v="0"/>
    <d v="2022-09-26T00:00:00"/>
    <s v="Married"/>
    <x v="1"/>
    <x v="4"/>
    <n v="10.7"/>
    <x v="3"/>
    <x v="3"/>
    <m/>
  </r>
  <r>
    <x v="0"/>
    <x v="1"/>
    <n v="137151"/>
    <x v="131"/>
    <x v="93"/>
    <m/>
    <x v="4"/>
    <x v="1"/>
    <x v="1"/>
    <d v="2022-12-22T00:00:00"/>
    <s v="Single"/>
    <x v="3"/>
    <x v="6"/>
    <n v="2"/>
    <x v="3"/>
    <x v="3"/>
    <m/>
  </r>
  <r>
    <x v="0"/>
    <x v="2"/>
    <n v="173998"/>
    <x v="132"/>
    <x v="94"/>
    <m/>
    <x v="1"/>
    <x v="1"/>
    <x v="0"/>
    <d v="2021-03-16T00:00:00"/>
    <s v="Single"/>
    <x v="1"/>
    <x v="1"/>
    <n v="5.3"/>
    <x v="3"/>
    <x v="3"/>
    <m/>
  </r>
  <r>
    <x v="0"/>
    <x v="2"/>
    <n v="103925"/>
    <x v="133"/>
    <x v="95"/>
    <m/>
    <x v="1"/>
    <x v="1"/>
    <x v="0"/>
    <d v="2021-05-12T00:00:00"/>
    <s v="Married"/>
    <x v="3"/>
    <x v="3"/>
    <n v="4.5"/>
    <x v="3"/>
    <x v="3"/>
    <m/>
  </r>
  <r>
    <x v="0"/>
    <x v="1"/>
    <n v="118694"/>
    <x v="134"/>
    <x v="96"/>
    <m/>
    <x v="1"/>
    <x v="1"/>
    <x v="0"/>
    <d v="2022-01-20T00:00:00"/>
    <s v="Single"/>
    <x v="3"/>
    <x v="3"/>
    <n v="3.5"/>
    <x v="3"/>
    <x v="3"/>
    <m/>
  </r>
  <r>
    <x v="0"/>
    <x v="1"/>
    <n v="195849"/>
    <x v="135"/>
    <x v="96"/>
    <m/>
    <x v="1"/>
    <x v="1"/>
    <x v="1"/>
    <d v="2022-08-13T00:00:00"/>
    <s v="Single"/>
    <x v="3"/>
    <x v="3"/>
    <n v="1.5"/>
    <x v="3"/>
    <x v="3"/>
    <m/>
  </r>
  <r>
    <x v="0"/>
    <x v="1"/>
    <n v="182665"/>
    <x v="136"/>
    <x v="97"/>
    <m/>
    <x v="1"/>
    <x v="1"/>
    <x v="1"/>
    <d v="2022-03-02T00:00:00"/>
    <s v="Married"/>
    <x v="1"/>
    <x v="2"/>
    <n v="10.9"/>
    <x v="3"/>
    <x v="3"/>
    <m/>
  </r>
  <r>
    <x v="0"/>
    <x v="1"/>
    <n v="151067"/>
    <x v="137"/>
    <x v="98"/>
    <m/>
    <x v="2"/>
    <x v="1"/>
    <x v="1"/>
    <d v="2022-07-22T00:00:00"/>
    <s v="Married"/>
    <x v="3"/>
    <x v="5"/>
    <n v="2.8"/>
    <x v="3"/>
    <x v="3"/>
    <m/>
  </r>
  <r>
    <x v="0"/>
    <x v="2"/>
    <n v="188212"/>
    <x v="138"/>
    <x v="16"/>
    <m/>
    <x v="1"/>
    <x v="1"/>
    <x v="0"/>
    <d v="2021-12-12T00:00:00"/>
    <s v="Married"/>
    <x v="1"/>
    <x v="2"/>
    <n v="7.5"/>
    <x v="3"/>
    <x v="3"/>
    <m/>
  </r>
  <r>
    <x v="0"/>
    <x v="2"/>
    <n v="188527"/>
    <x v="139"/>
    <x v="16"/>
    <m/>
    <x v="1"/>
    <x v="1"/>
    <x v="1"/>
    <d v="2022-05-20T00:00:00"/>
    <s v="Single"/>
    <x v="3"/>
    <x v="3"/>
    <n v="10"/>
    <x v="3"/>
    <x v="3"/>
    <m/>
  </r>
  <r>
    <x v="0"/>
    <x v="1"/>
    <n v="151539"/>
    <x v="140"/>
    <x v="99"/>
    <m/>
    <x v="1"/>
    <x v="1"/>
    <x v="1"/>
    <d v="2022-02-21T00:00:00"/>
    <s v="Single"/>
    <x v="3"/>
    <x v="3"/>
    <n v="0"/>
    <x v="3"/>
    <x v="3"/>
    <m/>
  </r>
  <r>
    <x v="0"/>
    <x v="1"/>
    <n v="148895"/>
    <x v="141"/>
    <x v="100"/>
    <m/>
    <x v="2"/>
    <x v="1"/>
    <x v="1"/>
    <d v="2022-04-17T00:00:00"/>
    <s v="Single"/>
    <x v="3"/>
    <x v="5"/>
    <n v="0"/>
    <x v="3"/>
    <x v="3"/>
    <m/>
  </r>
  <r>
    <x v="0"/>
    <x v="2"/>
    <n v="114477"/>
    <x v="142"/>
    <x v="101"/>
    <m/>
    <x v="1"/>
    <x v="1"/>
    <x v="0"/>
    <d v="2021-07-09T00:00:00"/>
    <s v="Single"/>
    <x v="3"/>
    <x v="3"/>
    <n v="1.6"/>
    <x v="4"/>
    <x v="3"/>
    <m/>
  </r>
  <r>
    <x v="0"/>
    <x v="1"/>
    <n v="170085"/>
    <x v="143"/>
    <x v="102"/>
    <m/>
    <x v="1"/>
    <x v="1"/>
    <x v="0"/>
    <d v="2023-08-06T00:00:00"/>
    <s v="Single"/>
    <x v="3"/>
    <x v="3"/>
    <n v="3.5"/>
    <x v="4"/>
    <x v="3"/>
    <m/>
  </r>
  <r>
    <x v="0"/>
    <x v="1"/>
    <n v="148355"/>
    <x v="144"/>
    <x v="102"/>
    <m/>
    <x v="0"/>
    <x v="1"/>
    <x v="0"/>
    <d v="2021-08-25T00:00:00"/>
    <s v="Single"/>
    <x v="3"/>
    <x v="5"/>
    <n v="14"/>
    <x v="4"/>
    <x v="3"/>
    <m/>
  </r>
  <r>
    <x v="0"/>
    <x v="1"/>
    <n v="132724"/>
    <x v="145"/>
    <x v="103"/>
    <m/>
    <x v="3"/>
    <x v="1"/>
    <x v="0"/>
    <d v="2023-04-05T00:00:00"/>
    <s v="Single"/>
    <x v="3"/>
    <x v="3"/>
    <n v="0.6"/>
    <x v="4"/>
    <x v="3"/>
    <m/>
  </r>
  <r>
    <x v="0"/>
    <x v="1"/>
    <n v="136024"/>
    <x v="146"/>
    <x v="103"/>
    <m/>
    <x v="4"/>
    <x v="1"/>
    <x v="0"/>
    <d v="2021-11-24T00:00:00"/>
    <s v="Single"/>
    <x v="2"/>
    <x v="5"/>
    <n v="14"/>
    <x v="4"/>
    <x v="3"/>
    <m/>
  </r>
  <r>
    <x v="0"/>
    <x v="2"/>
    <n v="186654"/>
    <x v="147"/>
    <x v="104"/>
    <m/>
    <x v="1"/>
    <x v="1"/>
    <x v="1"/>
    <d v="2022-05-27T00:00:00"/>
    <s v="Single"/>
    <x v="3"/>
    <x v="5"/>
    <n v="3.3"/>
    <x v="4"/>
    <x v="3"/>
    <m/>
  </r>
  <r>
    <x v="0"/>
    <x v="1"/>
    <n v="140505"/>
    <x v="148"/>
    <x v="104"/>
    <m/>
    <x v="0"/>
    <x v="1"/>
    <x v="1"/>
    <d v="2021-11-04T00:00:00"/>
    <s v="Single"/>
    <x v="3"/>
    <x v="5"/>
    <n v="13"/>
    <x v="4"/>
    <x v="3"/>
    <m/>
  </r>
  <r>
    <x v="0"/>
    <x v="1"/>
    <n v="166500"/>
    <x v="149"/>
    <x v="17"/>
    <m/>
    <x v="1"/>
    <x v="1"/>
    <x v="1"/>
    <d v="2022-12-11T00:00:00"/>
    <s v="Single"/>
    <x v="3"/>
    <x v="2"/>
    <n v="1.5"/>
    <x v="4"/>
    <x v="3"/>
    <m/>
  </r>
  <r>
    <x v="0"/>
    <x v="2"/>
    <n v="196256"/>
    <x v="150"/>
    <x v="105"/>
    <m/>
    <x v="1"/>
    <x v="1"/>
    <x v="1"/>
    <d v="2021-05-03T00:00:00"/>
    <s v="Married"/>
    <x v="3"/>
    <x v="5"/>
    <n v="3"/>
    <x v="4"/>
    <x v="3"/>
    <m/>
  </r>
  <r>
    <x v="0"/>
    <x v="1"/>
    <n v="107622"/>
    <x v="151"/>
    <x v="105"/>
    <m/>
    <x v="4"/>
    <x v="1"/>
    <x v="1"/>
    <d v="2021-04-28T00:00:00"/>
    <s v="Single"/>
    <x v="1"/>
    <x v="5"/>
    <n v="13"/>
    <x v="4"/>
    <x v="3"/>
    <m/>
  </r>
  <r>
    <x v="0"/>
    <x v="1"/>
    <n v="140845"/>
    <x v="152"/>
    <x v="106"/>
    <m/>
    <x v="2"/>
    <x v="1"/>
    <x v="0"/>
    <d v="2023-06-04T00:00:00"/>
    <s v="Single"/>
    <x v="1"/>
    <x v="5"/>
    <n v="10"/>
    <x v="4"/>
    <x v="3"/>
    <m/>
  </r>
  <r>
    <x v="0"/>
    <x v="1"/>
    <n v="196163"/>
    <x v="153"/>
    <x v="106"/>
    <m/>
    <x v="3"/>
    <x v="1"/>
    <x v="0"/>
    <d v="2022-12-16T00:00:00"/>
    <s v="Single"/>
    <x v="3"/>
    <x v="5"/>
    <n v="6.8"/>
    <x v="4"/>
    <x v="3"/>
    <m/>
  </r>
  <r>
    <x v="0"/>
    <x v="1"/>
    <n v="143527"/>
    <x v="154"/>
    <x v="106"/>
    <m/>
    <x v="0"/>
    <x v="1"/>
    <x v="0"/>
    <d v="2021-02-14T00:00:00"/>
    <s v="Married"/>
    <x v="2"/>
    <x v="3"/>
    <n v="7"/>
    <x v="4"/>
    <x v="3"/>
    <m/>
  </r>
  <r>
    <x v="0"/>
    <x v="1"/>
    <n v="121781"/>
    <x v="155"/>
    <x v="106"/>
    <m/>
    <x v="0"/>
    <x v="1"/>
    <x v="0"/>
    <d v="2021-03-11T00:00:00"/>
    <s v="Single"/>
    <x v="2"/>
    <x v="3"/>
    <n v="13"/>
    <x v="4"/>
    <x v="3"/>
    <m/>
  </r>
  <r>
    <x v="0"/>
    <x v="2"/>
    <n v="190716"/>
    <x v="156"/>
    <x v="107"/>
    <m/>
    <x v="2"/>
    <x v="1"/>
    <x v="1"/>
    <d v="2021-06-15T00:00:00"/>
    <s v="Married"/>
    <x v="3"/>
    <x v="3"/>
    <n v="4"/>
    <x v="4"/>
    <x v="3"/>
    <m/>
  </r>
  <r>
    <x v="0"/>
    <x v="1"/>
    <n v="131453"/>
    <x v="157"/>
    <x v="107"/>
    <m/>
    <x v="4"/>
    <x v="1"/>
    <x v="0"/>
    <d v="2023-01-14T00:00:00"/>
    <s v="Single"/>
    <x v="3"/>
    <x v="0"/>
    <n v="8"/>
    <x v="4"/>
    <x v="3"/>
    <m/>
  </r>
  <r>
    <x v="0"/>
    <x v="1"/>
    <n v="133611"/>
    <x v="158"/>
    <x v="108"/>
    <m/>
    <x v="4"/>
    <x v="1"/>
    <x v="1"/>
    <d v="1999-05-20T00:00:00"/>
    <s v="Single"/>
    <x v="3"/>
    <x v="6"/>
    <n v="0"/>
    <x v="4"/>
    <x v="3"/>
    <m/>
  </r>
  <r>
    <x v="0"/>
    <x v="1"/>
    <n v="158773"/>
    <x v="159"/>
    <x v="109"/>
    <m/>
    <x v="2"/>
    <x v="1"/>
    <x v="0"/>
    <d v="2023-05-27T00:00:00"/>
    <s v="Single"/>
    <x v="3"/>
    <x v="3"/>
    <n v="3"/>
    <x v="4"/>
    <x v="3"/>
    <m/>
  </r>
  <r>
    <x v="0"/>
    <x v="1"/>
    <n v="109333"/>
    <x v="160"/>
    <x v="110"/>
    <m/>
    <x v="1"/>
    <x v="1"/>
    <x v="0"/>
    <d v="2023-08-04T00:00:00"/>
    <s v="Married"/>
    <x v="1"/>
    <x v="2"/>
    <n v="10"/>
    <x v="4"/>
    <x v="3"/>
    <m/>
  </r>
  <r>
    <x v="0"/>
    <x v="1"/>
    <n v="165233"/>
    <x v="161"/>
    <x v="111"/>
    <m/>
    <x v="1"/>
    <x v="1"/>
    <x v="0"/>
    <d v="2023-04-06T00:00:00"/>
    <s v="Single"/>
    <x v="3"/>
    <x v="3"/>
    <n v="1.2"/>
    <x v="4"/>
    <x v="3"/>
    <m/>
  </r>
  <r>
    <x v="0"/>
    <x v="2"/>
    <n v="103360"/>
    <x v="162"/>
    <x v="112"/>
    <m/>
    <x v="1"/>
    <x v="1"/>
    <x v="1"/>
    <d v="2001-04-01T00:00:00"/>
    <s v="Single"/>
    <x v="3"/>
    <x v="5"/>
    <n v="0.11"/>
    <x v="4"/>
    <x v="4"/>
    <m/>
  </r>
  <r>
    <x v="0"/>
    <x v="1"/>
    <n v="168841"/>
    <x v="163"/>
    <x v="112"/>
    <m/>
    <x v="1"/>
    <x v="1"/>
    <x v="0"/>
    <d v="1982-01-03T00:00:00"/>
    <s v="Married"/>
    <x v="2"/>
    <x v="6"/>
    <n v="19"/>
    <x v="4"/>
    <x v="4"/>
    <m/>
  </r>
  <r>
    <x v="1"/>
    <x v="1"/>
    <n v="123680"/>
    <x v="164"/>
    <x v="113"/>
    <m/>
    <x v="6"/>
    <x v="1"/>
    <x v="1"/>
    <d v="2021-01-15T00:00:00"/>
    <s v="Single"/>
    <x v="3"/>
    <x v="0"/>
    <n v="0"/>
    <x v="5"/>
    <x v="4"/>
    <m/>
  </r>
  <r>
    <x v="0"/>
    <x v="1"/>
    <n v="136555"/>
    <x v="165"/>
    <x v="20"/>
    <m/>
    <x v="6"/>
    <x v="1"/>
    <x v="0"/>
    <d v="2021-10-03T00:00:00"/>
    <s v="Married"/>
    <x v="2"/>
    <x v="1"/>
    <n v="5"/>
    <x v="5"/>
    <x v="4"/>
    <m/>
  </r>
  <r>
    <x v="0"/>
    <x v="1"/>
    <n v="109886"/>
    <x v="166"/>
    <x v="114"/>
    <m/>
    <x v="6"/>
    <x v="1"/>
    <x v="1"/>
    <d v="2021-12-10T00:00:00"/>
    <s v="Married"/>
    <x v="2"/>
    <x v="0"/>
    <n v="14"/>
    <x v="5"/>
    <x v="4"/>
    <m/>
  </r>
  <r>
    <x v="0"/>
    <x v="1"/>
    <n v="135596"/>
    <x v="167"/>
    <x v="21"/>
    <m/>
    <x v="2"/>
    <x v="1"/>
    <x v="0"/>
    <d v="2021-03-14T00:00:00"/>
    <s v="Single"/>
    <x v="1"/>
    <x v="0"/>
    <n v="0"/>
    <x v="5"/>
    <x v="4"/>
    <m/>
  </r>
  <r>
    <x v="0"/>
    <x v="1"/>
    <n v="102045"/>
    <x v="168"/>
    <x v="115"/>
    <m/>
    <x v="1"/>
    <x v="1"/>
    <x v="1"/>
    <d v="2021-01-20T00:00:00"/>
    <s v="Single"/>
    <x v="2"/>
    <x v="1"/>
    <n v="17"/>
    <x v="5"/>
    <x v="4"/>
    <m/>
  </r>
  <r>
    <x v="0"/>
    <x v="1"/>
    <n v="137966"/>
    <x v="169"/>
    <x v="116"/>
    <m/>
    <x v="1"/>
    <x v="1"/>
    <x v="0"/>
    <d v="2021-11-07T00:00:00"/>
    <s v="Married"/>
    <x v="1"/>
    <x v="0"/>
    <n v="9"/>
    <x v="5"/>
    <x v="5"/>
    <m/>
  </r>
  <r>
    <x v="0"/>
    <x v="1"/>
    <n v="146341"/>
    <x v="170"/>
    <x v="117"/>
    <m/>
    <x v="1"/>
    <x v="1"/>
    <x v="1"/>
    <d v="2021-01-24T00:00:00"/>
    <s v="Married"/>
    <x v="1"/>
    <x v="0"/>
    <n v="13"/>
    <x v="5"/>
    <x v="5"/>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5B78BC56-C4A3-234C-A5FE-80C808562F1B}" name="PivotTable16"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40:Q44" firstHeaderRow="1" firstDataRow="1" firstDataCol="1" rowPageCount="1" colPageCount="1"/>
  <pivotFields count="20">
    <pivotField axis="axisPage" multipleItemSelectionAllowed="1" showAll="0">
      <items count="4">
        <item h="1" x="1"/>
        <item x="0"/>
        <item h="1"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pivotField showAll="0"/>
    <pivotField showAll="0"/>
    <pivotField numFmtId="165" showAll="0"/>
    <pivotField showAll="0"/>
    <pivotField showAll="0"/>
    <pivotField showAll="0">
      <items count="8">
        <item x="1"/>
        <item h="1" x="4"/>
        <item h="1" x="5"/>
        <item h="1" x="2"/>
        <item h="1" x="3"/>
        <item h="1" x="0"/>
        <item h="1" x="6"/>
        <item t="default"/>
      </items>
    </pivotField>
    <pivotField showAll="0"/>
    <pivotField showAll="0"/>
    <pivotField axis="axisRow" showAll="0" sortType="descending">
      <items count="7">
        <item x="0"/>
        <item x="1"/>
        <item x="2"/>
        <item x="3"/>
        <item x="4"/>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4">
    <i>
      <x/>
    </i>
    <i>
      <x v="3"/>
    </i>
    <i>
      <x v="4"/>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2937D95A-F8D2-9346-A76F-26EB2A46FF30}" name="PivotTable14"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9:Q24" firstHeaderRow="1" firstDataRow="1" firstDataCol="1" rowPageCount="1" colPageCount="1"/>
  <pivotFields count="20">
    <pivotField axis="axisPage" multipleItemSelectionAllowed="1" showAll="0">
      <items count="4">
        <item h="1" x="1"/>
        <item x="0"/>
        <item h="1"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axis="axisRow" showAll="0" sortType="descending">
      <items count="8">
        <item x="5"/>
        <item x="2"/>
        <item x="3"/>
        <item x="4"/>
        <item x="6"/>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showAll="0">
      <items count="8">
        <item x="1"/>
        <item h="1" x="4"/>
        <item h="1" x="5"/>
        <item h="1" x="2"/>
        <item h="1" x="3"/>
        <item h="1" x="0"/>
        <item h="1"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5">
    <i>
      <x v="6"/>
    </i>
    <i>
      <x v="4"/>
    </i>
    <i>
      <x/>
    </i>
    <i>
      <x v="3"/>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7DE4A909-4C8B-C44D-BB10-81137D4481AB}" name="PivotTable8"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3:D10" firstHeaderRow="1" firstDataRow="2" firstDataCol="1"/>
  <pivotFields count="20">
    <pivotField axis="axisCol" showAll="0">
      <items count="4">
        <item x="1"/>
        <item x="0"/>
        <item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pivotField showAll="0"/>
    <pivotField showAll="0"/>
    <pivotField numFmtId="165" showAll="0"/>
    <pivotField showAll="0"/>
    <pivotField showAll="0"/>
    <pivotField showAll="0">
      <items count="8">
        <item x="1"/>
        <item h="1" x="4"/>
        <item h="1" x="5"/>
        <item h="1" x="2"/>
        <item h="1" x="3"/>
        <item h="1" x="0"/>
        <item h="1" x="6"/>
        <item t="default"/>
      </items>
    </pivotField>
    <pivotField showAll="0"/>
    <pivotField axis="axisRow" showAll="0">
      <items count="7">
        <item x="0"/>
        <item x="1"/>
        <item x="2"/>
        <item x="3"/>
        <item x="4"/>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6">
    <i>
      <x/>
    </i>
    <i>
      <x v="1"/>
    </i>
    <i>
      <x v="2"/>
    </i>
    <i>
      <x v="3"/>
    </i>
    <i>
      <x v="5"/>
    </i>
    <i t="grand">
      <x/>
    </i>
  </rowItems>
  <colFields count="1">
    <field x="0"/>
  </colFields>
  <colItems count="3">
    <i>
      <x/>
    </i>
    <i>
      <x v="1"/>
    </i>
    <i t="grand">
      <x/>
    </i>
  </colItems>
  <dataFields count="1">
    <dataField name="Count of Name" fld="3" subtotal="count" baseField="0" baseItem="0"/>
  </dataFields>
  <formats count="11">
    <format dxfId="191">
      <pivotArea outline="0" collapsedLevelsAreSubtotals="1" fieldPosition="0">
        <references count="1">
          <reference field="0" count="1" selected="0">
            <x v="0"/>
          </reference>
        </references>
      </pivotArea>
    </format>
    <format dxfId="190">
      <pivotArea type="all" dataOnly="0" outline="0" fieldPosition="0"/>
    </format>
    <format dxfId="189">
      <pivotArea outline="0" collapsedLevelsAreSubtotals="1" fieldPosition="0"/>
    </format>
    <format dxfId="188">
      <pivotArea type="origin" dataOnly="0" labelOnly="1" outline="0" fieldPosition="0"/>
    </format>
    <format dxfId="187">
      <pivotArea field="0" type="button" dataOnly="0" labelOnly="1" outline="0" axis="axisCol" fieldPosition="0"/>
    </format>
    <format dxfId="186">
      <pivotArea type="topEnd" dataOnly="0" labelOnly="1" outline="0" fieldPosition="0"/>
    </format>
    <format dxfId="185">
      <pivotArea field="14" type="button" dataOnly="0" labelOnly="1" outline="0" axis="axisRow" fieldPosition="0"/>
    </format>
    <format dxfId="184">
      <pivotArea dataOnly="0" labelOnly="1" fieldPosition="0">
        <references count="1">
          <reference field="14" count="0"/>
        </references>
      </pivotArea>
    </format>
    <format dxfId="183">
      <pivotArea dataOnly="0" labelOnly="1" grandRow="1" outline="0" fieldPosition="0"/>
    </format>
    <format dxfId="182">
      <pivotArea dataOnly="0" labelOnly="1" fieldPosition="0">
        <references count="1">
          <reference field="0" count="0"/>
        </references>
      </pivotArea>
    </format>
    <format dxfId="18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4E3BEB62-3575-F64C-9818-142F2FB5915C}" name="PivotTable11"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G3:H6" firstHeaderRow="1" firstDataRow="1" firstDataCol="1" rowPageCount="1" colPageCount="1"/>
  <pivotFields count="20">
    <pivotField axis="axisPage" multipleItemSelectionAllowed="1" showAll="0">
      <items count="4">
        <item h="1" x="1"/>
        <item x="0"/>
        <item h="1"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pivotField showAll="0"/>
    <pivotField axis="axisRow" showAll="0">
      <items count="3">
        <item x="1"/>
        <item x="0"/>
        <item t="default"/>
      </items>
    </pivotField>
    <pivotField numFmtId="165" showAll="0"/>
    <pivotField showAll="0"/>
    <pivotField showAll="0"/>
    <pivotField showAll="0">
      <items count="8">
        <item x="1"/>
        <item h="1" x="4"/>
        <item h="1" x="5"/>
        <item h="1" x="2"/>
        <item h="1" x="3"/>
        <item h="1" x="0"/>
        <item h="1"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3">
    <i>
      <x/>
    </i>
    <i>
      <x v="1"/>
    </i>
    <i t="grand">
      <x/>
    </i>
  </rowItems>
  <colItems count="1">
    <i/>
  </colItems>
  <pageFields count="1">
    <pageField fld="0" hier="-1"/>
  </pageFields>
  <dataFields count="1">
    <dataField name="Count of Name" fld="3" subtotal="count" baseField="0" baseItem="0"/>
  </dataFields>
  <formats count="6">
    <format dxfId="197">
      <pivotArea type="all" dataOnly="0" outline="0" fieldPosition="0"/>
    </format>
    <format dxfId="196">
      <pivotArea outline="0" collapsedLevelsAreSubtotals="1" fieldPosition="0"/>
    </format>
    <format dxfId="195">
      <pivotArea field="8" type="button" dataOnly="0" labelOnly="1" outline="0" axis="axisRow" fieldPosition="0"/>
    </format>
    <format dxfId="194">
      <pivotArea dataOnly="0" labelOnly="1" fieldPosition="0">
        <references count="1">
          <reference field="8" count="0"/>
        </references>
      </pivotArea>
    </format>
    <format dxfId="193">
      <pivotArea dataOnly="0" labelOnly="1" grandRow="1" outline="0" fieldPosition="0"/>
    </format>
    <format dxfId="1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53D3E981-4356-4C42-A9B0-3AC7A1E16172}" name="PivotTable12"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15:N19" firstHeaderRow="1" firstDataRow="1" firstDataCol="1" rowPageCount="1" colPageCount="1"/>
  <pivotFields count="20">
    <pivotField axis="axisPage" multipleItemSelectionAllowed="1" showAll="0">
      <items count="4">
        <item h="1" x="1"/>
        <item x="0"/>
        <item h="1"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pivotField showAll="0"/>
    <pivotField showAll="0"/>
    <pivotField numFmtId="165" showAll="0"/>
    <pivotField showAll="0"/>
    <pivotField axis="axisRow" showAll="0">
      <items count="5">
        <item x="0"/>
        <item x="2"/>
        <item x="3"/>
        <item x="1"/>
        <item t="default"/>
      </items>
    </pivotField>
    <pivotField showAll="0">
      <items count="8">
        <item x="1"/>
        <item h="1" x="4"/>
        <item h="1" x="5"/>
        <item h="1" x="2"/>
        <item h="1" x="3"/>
        <item h="1" x="0"/>
        <item h="1"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1"/>
  </rowFields>
  <rowItems count="4">
    <i>
      <x v="1"/>
    </i>
    <i>
      <x v="2"/>
    </i>
    <i>
      <x v="3"/>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8136BE5D-DF77-874F-BEB1-A8913CDA34B2}" name="PivotTable13"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4:Q6" firstHeaderRow="1" firstDataRow="1" firstDataCol="1" rowPageCount="1" colPageCount="1"/>
  <pivotFields count="20">
    <pivotField axis="axisPage" multipleItemSelectionAllowed="1" showAll="0">
      <items count="4">
        <item h="1" x="1"/>
        <item x="0"/>
        <item h="1"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pivotField showAll="0"/>
    <pivotField showAll="0"/>
    <pivotField numFmtId="165" showAll="0"/>
    <pivotField showAll="0"/>
    <pivotField showAll="0"/>
    <pivotField axis="axisRow" showAll="0">
      <items count="8">
        <item x="1"/>
        <item h="1" x="4"/>
        <item h="1" x="5"/>
        <item h="1" x="2"/>
        <item h="1" x="3"/>
        <item h="1" x="0"/>
        <item h="1"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2">
    <i>
      <x/>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A13C4A3C-2714-7247-9A6C-7AFC431B7DF1}" name="PivotTable15"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32:Q34" firstHeaderRow="1" firstDataRow="1" firstDataCol="1" rowPageCount="1" colPageCount="1"/>
  <pivotFields count="20">
    <pivotField axis="axisPage" multipleItemSelectionAllowed="1" showAll="0">
      <items count="4">
        <item h="1" x="1"/>
        <item x="0"/>
        <item h="1" x="2"/>
        <item t="default"/>
      </items>
    </pivotField>
    <pivotField showAll="0"/>
    <pivotField showAll="0"/>
    <pivotField dataField="1" showAll="0"/>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pivotField axis="axisRow" showAll="0">
      <items count="3">
        <item x="0"/>
        <item x="1"/>
        <item t="default"/>
      </items>
    </pivotField>
    <pivotField showAll="0"/>
    <pivotField numFmtId="165" showAll="0"/>
    <pivotField showAll="0"/>
    <pivotField showAll="0"/>
    <pivotField showAll="0">
      <items count="8">
        <item x="1"/>
        <item h="1" x="4"/>
        <item h="1" x="5"/>
        <item h="1" x="2"/>
        <item h="1" x="3"/>
        <item h="1" x="0"/>
        <item h="1"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2">
    <i>
      <x v="1"/>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purl.oclc.org/ooxml/spreadsheetml/main" xmlns:mc="http://schemas.openxmlformats.org/markup-compatibility/2006" xmlns:xr="http://schemas.microsoft.com/office/spreadsheetml/2014/revision" mc:Ignorable="xr" xr:uid="{5FBA95DA-78CB-254B-B3FC-C9A5F3BD71E7}"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6" firstHeaderRow="1" firstDataRow="1" firstDataCol="1"/>
  <pivotFields count="20">
    <pivotField showAll="0">
      <items count="4">
        <item x="1"/>
        <item x="0"/>
        <item x="2"/>
        <item t="default"/>
      </items>
    </pivotField>
    <pivotField axis="axisRow" showAll="0">
      <items count="4">
        <item x="0"/>
        <item x="2"/>
        <item x="1"/>
        <item t="default"/>
      </items>
    </pivotField>
    <pivotField showAll="0"/>
    <pivotField showAll="0">
      <items count="172">
        <item x="120"/>
        <item x="0"/>
        <item x="119"/>
        <item x="152"/>
        <item x="111"/>
        <item x="49"/>
        <item x="96"/>
        <item x="47"/>
        <item x="22"/>
        <item x="135"/>
        <item x="36"/>
        <item x="82"/>
        <item x="65"/>
        <item x="158"/>
        <item x="122"/>
        <item x="167"/>
        <item x="141"/>
        <item x="83"/>
        <item x="33"/>
        <item x="89"/>
        <item x="98"/>
        <item x="113"/>
        <item x="87"/>
        <item x="92"/>
        <item x="24"/>
        <item x="13"/>
        <item x="147"/>
        <item x="99"/>
        <item x="157"/>
        <item x="55"/>
        <item x="50"/>
        <item x="31"/>
        <item x="84"/>
        <item x="45"/>
        <item x="140"/>
        <item x="90"/>
        <item x="80"/>
        <item x="77"/>
        <item x="66"/>
        <item x="42"/>
        <item x="43"/>
        <item x="170"/>
        <item x="128"/>
        <item x="3"/>
        <item x="7"/>
        <item x="123"/>
        <item x="116"/>
        <item x="9"/>
        <item x="145"/>
        <item x="127"/>
        <item x="20"/>
        <item x="109"/>
        <item x="59"/>
        <item x="6"/>
        <item x="148"/>
        <item x="155"/>
        <item x="19"/>
        <item x="136"/>
        <item x="81"/>
        <item x="46"/>
        <item x="115"/>
        <item x="63"/>
        <item x="154"/>
        <item x="137"/>
        <item x="8"/>
        <item x="143"/>
        <item x="118"/>
        <item x="159"/>
        <item x="150"/>
        <item x="129"/>
        <item x="106"/>
        <item x="102"/>
        <item x="17"/>
        <item x="52"/>
        <item x="146"/>
        <item x="139"/>
        <item x="91"/>
        <item x="142"/>
        <item x="28"/>
        <item x="153"/>
        <item x="163"/>
        <item x="168"/>
        <item x="71"/>
        <item x="103"/>
        <item x="94"/>
        <item x="110"/>
        <item x="169"/>
        <item x="132"/>
        <item x="25"/>
        <item x="76"/>
        <item x="70"/>
        <item x="64"/>
        <item x="125"/>
        <item x="35"/>
        <item x="60"/>
        <item x="38"/>
        <item x="56"/>
        <item x="101"/>
        <item x="54"/>
        <item x="44"/>
        <item x="124"/>
        <item x="151"/>
        <item x="117"/>
        <item x="164"/>
        <item x="100"/>
        <item x="27"/>
        <item x="72"/>
        <item x="5"/>
        <item x="61"/>
        <item x="18"/>
        <item x="1"/>
        <item x="15"/>
        <item x="121"/>
        <item x="85"/>
        <item x="12"/>
        <item x="11"/>
        <item x="107"/>
        <item x="160"/>
        <item x="78"/>
        <item x="130"/>
        <item x="114"/>
        <item x="29"/>
        <item x="10"/>
        <item x="67"/>
        <item x="105"/>
        <item x="104"/>
        <item x="53"/>
        <item x="21"/>
        <item x="162"/>
        <item x="23"/>
        <item x="93"/>
        <item x="161"/>
        <item x="51"/>
        <item x="68"/>
        <item x="156"/>
        <item x="2"/>
        <item x="57"/>
        <item x="48"/>
        <item x="40"/>
        <item x="138"/>
        <item x="14"/>
        <item x="126"/>
        <item x="75"/>
        <item x="108"/>
        <item x="88"/>
        <item x="37"/>
        <item x="41"/>
        <item x="4"/>
        <item x="134"/>
        <item x="69"/>
        <item x="26"/>
        <item x="131"/>
        <item x="112"/>
        <item x="165"/>
        <item x="16"/>
        <item x="58"/>
        <item x="73"/>
        <item x="97"/>
        <item x="166"/>
        <item x="62"/>
        <item x="34"/>
        <item x="74"/>
        <item x="79"/>
        <item x="30"/>
        <item x="144"/>
        <item x="95"/>
        <item x="133"/>
        <item x="149"/>
        <item x="32"/>
        <item x="86"/>
        <item x="39"/>
        <item t="default"/>
      </items>
    </pivotField>
    <pivotField numFmtId="164" showAll="0">
      <items count="119">
        <item x="23"/>
        <item x="24"/>
        <item x="25"/>
        <item x="26"/>
        <item x="27"/>
        <item x="28"/>
        <item x="0"/>
        <item x="29"/>
        <item x="30"/>
        <item x="31"/>
        <item x="32"/>
        <item x="33"/>
        <item x="34"/>
        <item x="35"/>
        <item x="36"/>
        <item x="37"/>
        <item x="1"/>
        <item x="38"/>
        <item x="39"/>
        <item x="40"/>
        <item x="41"/>
        <item x="42"/>
        <item x="43"/>
        <item x="44"/>
        <item x="2"/>
        <item x="45"/>
        <item x="46"/>
        <item x="3"/>
        <item x="47"/>
        <item x="48"/>
        <item x="49"/>
        <item x="50"/>
        <item x="51"/>
        <item x="52"/>
        <item x="53"/>
        <item x="54"/>
        <item x="55"/>
        <item x="56"/>
        <item x="57"/>
        <item x="58"/>
        <item x="4"/>
        <item x="59"/>
        <item x="60"/>
        <item x="61"/>
        <item x="62"/>
        <item x="63"/>
        <item x="64"/>
        <item x="5"/>
        <item x="65"/>
        <item x="66"/>
        <item x="67"/>
        <item x="68"/>
        <item x="6"/>
        <item x="7"/>
        <item x="69"/>
        <item x="8"/>
        <item x="70"/>
        <item x="71"/>
        <item x="9"/>
        <item x="10"/>
        <item x="11"/>
        <item x="72"/>
        <item x="73"/>
        <item x="74"/>
        <item x="75"/>
        <item x="12"/>
        <item x="76"/>
        <item x="13"/>
        <item x="77"/>
        <item x="78"/>
        <item x="79"/>
        <item x="80"/>
        <item x="81"/>
        <item x="82"/>
        <item x="14"/>
        <item x="83"/>
        <item x="84"/>
        <item x="85"/>
        <item x="86"/>
        <item x="87"/>
        <item x="88"/>
        <item x="89"/>
        <item x="90"/>
        <item x="91"/>
        <item x="92"/>
        <item x="93"/>
        <item x="15"/>
        <item x="94"/>
        <item x="95"/>
        <item x="96"/>
        <item x="97"/>
        <item x="98"/>
        <item x="16"/>
        <item x="99"/>
        <item x="100"/>
        <item x="101"/>
        <item x="102"/>
        <item x="103"/>
        <item x="104"/>
        <item x="17"/>
        <item x="105"/>
        <item x="106"/>
        <item x="18"/>
        <item x="107"/>
        <item x="108"/>
        <item x="109"/>
        <item x="110"/>
        <item x="19"/>
        <item x="111"/>
        <item x="112"/>
        <item x="113"/>
        <item x="20"/>
        <item x="114"/>
        <item x="21"/>
        <item x="115"/>
        <item x="22"/>
        <item x="116"/>
        <item x="117"/>
        <item t="default"/>
      </items>
    </pivotField>
    <pivotField showAll="0"/>
    <pivotField showAll="0">
      <items count="8">
        <item x="5"/>
        <item x="2"/>
        <item x="3"/>
        <item x="4"/>
        <item x="6"/>
        <item x="0"/>
        <item x="1"/>
        <item t="default"/>
      </items>
    </pivotField>
    <pivotField showAll="0"/>
    <pivotField showAll="0">
      <items count="3">
        <item x="1"/>
        <item x="0"/>
        <item t="default"/>
      </items>
    </pivotField>
    <pivotField numFmtId="165" showAll="0"/>
    <pivotField showAll="0"/>
    <pivotField showAll="0"/>
    <pivotField showAll="0">
      <items count="8">
        <item x="1"/>
        <item h="1" x="4"/>
        <item h="1" x="5"/>
        <item h="1" x="2"/>
        <item h="1" x="3"/>
        <item h="1" x="0"/>
        <item h="1" x="6"/>
        <item t="default"/>
      </items>
    </pivotField>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17"/>
    <field x="1"/>
  </rowFields>
  <rowItems count="23">
    <i>
      <x v="1"/>
    </i>
    <i r="1">
      <x v="2"/>
    </i>
    <i>
      <x v="2"/>
    </i>
    <i r="1">
      <x/>
    </i>
    <i r="1">
      <x v="2"/>
    </i>
    <i>
      <x v="3"/>
    </i>
    <i r="1">
      <x v="2"/>
    </i>
    <i>
      <x v="4"/>
    </i>
    <i r="1">
      <x/>
    </i>
    <i>
      <x v="6"/>
    </i>
    <i r="1">
      <x v="2"/>
    </i>
    <i>
      <x v="7"/>
    </i>
    <i r="1">
      <x v="2"/>
    </i>
    <i>
      <x v="9"/>
    </i>
    <i r="1">
      <x/>
    </i>
    <i r="1">
      <x v="2"/>
    </i>
    <i>
      <x v="10"/>
    </i>
    <i r="1">
      <x v="1"/>
    </i>
    <i>
      <x v="11"/>
    </i>
    <i r="1">
      <x v="2"/>
    </i>
    <i>
      <x v="12"/>
    </i>
    <i r="1">
      <x v="2"/>
    </i>
    <i t="grand">
      <x/>
    </i>
  </rowItems>
  <colItems count="1">
    <i/>
  </colItems>
  <dataFields count="1">
    <dataField name="Sum of Total Experien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Department" xr10:uid="{CC57753B-510A-EC45-AEF7-C1D70A50F4CD}" sourceName="Department">
  <pivotTables>
    <pivotTable tabId="2" name="PivotTable8"/>
    <pivotTable tabId="2" name="PivotTable11"/>
    <pivotTable tabId="2" name="PivotTable12"/>
    <pivotTable tabId="2" name="PivotTable13"/>
    <pivotTable tabId="2" name="PivotTable14"/>
    <pivotTable tabId="2" name="PivotTable15"/>
    <pivotTable tabId="2" name="PivotTable16"/>
    <pivotTable tabId="4" name="PivotTable7"/>
  </pivotTables>
  <data>
    <tabular pivotCacheId="1086551469">
      <items count="7">
        <i x="1" s="1"/>
        <i x="4"/>
        <i x="5"/>
        <i x="2"/>
        <i x="3"/>
        <i x="0"/>
        <i x="6"/>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mp_Status" xr10:uid="{9E27998A-AB19-3646-BDE6-E69CDE9798A6}" sourceName="Emp Status">
  <pivotTables>
    <pivotTable tabId="4" name="PivotTable7"/>
  </pivotTables>
  <data>
    <tabular pivotCacheId="1086551469">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4E3D9F24-19B9-F745-AD64-6130B41F9B44}" sourceName="Category">
  <pivotTables>
    <pivotTable tabId="4" name="PivotTable7"/>
  </pivotTables>
  <data>
    <tabular pivotCacheId="108655146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porting_Manager" xr10:uid="{A8EC5C4F-97C2-F64B-9C7D-501D5A0FC570}" sourceName="Reporting Manager">
  <pivotTables>
    <pivotTable tabId="4" name="PivotTable7"/>
  </pivotTables>
  <data>
    <tabular pivotCacheId="1086551469">
      <items count="7">
        <i x="5" s="1"/>
        <i x="4" s="1"/>
        <i x="6" s="1"/>
        <i x="0" s="1"/>
        <i x="1" s="1"/>
        <i x="2" s="1" nd="1"/>
        <i x="3" s="1" nd="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Department 2" xr10:uid="{8489E085-22E3-EA4E-967D-AC3DA1605CB5}" cache="Slicer_Department" caption="Department" rowHeight="230716"/>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Department 3" xr10:uid="{7C675B3C-99FB-134B-B33A-E8487282E862}" cache="Slicer_Department" caption="Department" rowHeight="230716"/>
  <slicer name="Emp Status" xr10:uid="{49B7E7CB-4A6E-4944-9B53-0EE472FA0E47}" cache="Slicer_Emp_Status" caption="Emp Status" rowHeight="230716"/>
  <slicer name="Category" xr10:uid="{2FF5C135-BB82-F842-9210-8297F6E79868}" cache="Slicer_Category" caption="Category" rowHeight="230716"/>
  <slicer name="Reporting Manager" xr10:uid="{FBAD4894-4512-9542-8D67-F19D22C5AB14}" cache="Slicer_Reporting_Manager" caption="Reporting Manager" rowHeight="230716"/>
</slicers>
</file>

<file path=xl/slicers/slicer3.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Department 4" xr10:uid="{C436845F-8DFA-244D-8BAA-4F15ACFD7360}" cache="Slicer_Department" caption="Department" style="SlicerStyleDark1" rowHeight="230716"/>
  <slicer name="Reporting Manager 1" xr10:uid="{4CAC6D48-4B5A-EC4E-BC2B-D960C15D0050}" cache="Slicer_Reporting_Manager" caption="Reporting Manager" style="SlicerStyleDark1" rowHeight="230716"/>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69F5476D-495C-4A3A-BB5D-CF8F959FE902}" name="Table2" displayName="Table2" ref="A1:Q172" totalsRowShown="0" headerRowDxfId="180" headerRowBorderDxfId="179" tableBorderDxfId="178" totalsRowBorderDxfId="177">
  <autoFilter ref="A1:Q172" xr:uid="{69F5476D-495C-4A3A-BB5D-CF8F959FE902}"/>
  <sortState xmlns:xlrd2="http://schemas.microsoft.com/office/spreadsheetml/2017/richdata2" ref="A2:P172">
    <sortCondition ref="H2:H172"/>
  </sortState>
  <tableColumns count="17">
    <tableColumn id="38" xr3:uid="{87B0625C-2963-4A3A-8454-6CE23AC5A7E0}" name="Emp Status" dataDxfId="176"/>
    <tableColumn id="33" xr3:uid="{549A3582-7299-4BC0-98BC-BFE4A799412E}" name="Movement" dataDxfId="175"/>
    <tableColumn id="16" xr3:uid="{623ABE19-A1BB-497C-955E-445B016AD4C3}" name="Emp Id" dataDxfId="174"/>
    <tableColumn id="17" xr3:uid="{F1BEDDA3-4194-4C1B-AEC6-DD3D17C0AF5E}" name="Name" dataDxfId="173"/>
    <tableColumn id="18" xr3:uid="{40167B1E-1D33-41BC-9CDC-05C0624B4800}" name="Date of Joining" dataDxfId="172"/>
    <tableColumn id="39" xr3:uid="{C86505F9-7D4D-4CDF-A2A5-6475E7361026}" name="Data of Relieving" dataDxfId="171"/>
    <tableColumn id="4" xr3:uid="{D4659B5E-63C6-42E6-823F-59DD13C7EBDE}" name="Reporting Manager" dataDxfId="170"/>
    <tableColumn id="19" xr3:uid="{374572AC-5A05-4113-8D02-2AD5BE9FBEDD}" name="Emp Type" dataDxfId="169"/>
    <tableColumn id="20" xr3:uid="{71EF4DD4-2EE1-48E2-8A6E-3E5207C31659}" name="Category" dataDxfId="168"/>
    <tableColumn id="21" xr3:uid="{075A6894-0B48-4450-9C7C-CF8ED4D5D2C8}" name="Date of Birth" dataDxfId="167"/>
    <tableColumn id="22" xr3:uid="{6D9F7490-E077-48EB-9103-4457925E06D7}" name="Marital status" dataDxfId="166"/>
    <tableColumn id="1" xr3:uid="{5FADB1AD-9B91-48DA-A243-16DC9E49FCCF}" name="Grade" dataDxfId="165"/>
    <tableColumn id="2" xr3:uid="{924FF48E-6E59-4C5D-BB67-03CEB785AF15}" name="Department" dataDxfId="164"/>
    <tableColumn id="30" xr3:uid="{0E004753-8E8B-4551-B080-E1A287121E8A}" name="Total Experience" dataDxfId="163"/>
    <tableColumn id="8" xr3:uid="{D34FC480-00ED-444C-82CF-1060600113A1}" name="Year" dataDxfId="162">
      <calculatedColumnFormula>YEAR(Table2[[#This Row],[Date of Joining]])</calculatedColumnFormula>
    </tableColumn>
    <tableColumn id="10" xr3:uid="{76775B67-06F2-40D3-BCFE-EA2A41C4B4CD}" name="Stability" dataDxfId="161">
      <calculatedColumnFormula>IF(DATEDIF(E2,TODAY(),"Y")&gt;=5,"5+ years",
IF(DATEDIF(E2,TODAY(),"Y")&gt;=4,"4+ years",
IF(DATEDIF(E2,TODAY(),"Y")&gt;=3,"3+ years",
IF(DATEDIF(E2,TODAY(),"Y")&gt;=2,"2+ years",
IF(DATEDIF(E2,TODAY(),"Y")&gt;=1,"1+ years","&lt;1 year")))))</calculatedColumnFormula>
    </tableColumn>
    <tableColumn id="3" xr3:uid="{D0C7D034-E4C0-0D4F-9737-25DCF4BD1ACC}" name="Column1" dataDxfId="160"/>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purl.oclc.org/ooxml/officeDocument/relationships/drawing" Target="../drawings/drawing1.xml"/><Relationship Id="rId3" Type="http://purl.oclc.org/ooxml/officeDocument/relationships/pivotTable" Target="../pivotTables/pivotTable3.xml"/><Relationship Id="rId7" Type="http://purl.oclc.org/ooxml/officeDocument/relationships/pivotTable" Target="../pivotTables/pivotTable7.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purl.oclc.org/ooxml/officeDocument/relationships/drawing" Target="../drawings/drawing2.xml"/><Relationship Id="rId1" Type="http://purl.oclc.org/ooxml/officeDocument/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purl.oclc.org/ooxml/officeDocument/relationships/drawing" Target="../drawings/drawing3.xml"/></Relationships>
</file>

<file path=xl/worksheets/_rels/sheet4.xml.rels><?xml version="1.0" encoding="UTF-8" standalone="yes"?>
<Relationships xmlns="http://schemas.openxmlformats.org/package/2006/relationships"><Relationship Id="rId3" Type="http://purl.oclc.org/ooxml/officeDocument/relationships/hyperlink" Target="mailto:vijay.patil@otis.com" TargetMode="External"/><Relationship Id="rId2" Type="http://purl.oclc.org/ooxml/officeDocument/relationships/hyperlink" Target="mailto:Ishwarya.S@otis.com" TargetMode="External"/><Relationship Id="rId1" Type="http://purl.oclc.org/ooxml/officeDocument/relationships/hyperlink" Target="mailto:Prashantha.S@otis.com" TargetMode="External"/><Relationship Id="rId4"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7856-05C1-AB43-8B6F-E2D5D4C46415}">
  <dimension ref="A1:T47"/>
  <sheetViews>
    <sheetView showGridLines="0" workbookViewId="0">
      <selection activeCell="A3" sqref="A3"/>
      <pivotSelection pane="bottomRight" showHeader="1" activeRow="2" previousRow="2" click="2" r:id="rId3">
        <pivotArea type="origin" dataOnly="0" labelOnly="1" outline="0" fieldPosition="0"/>
      </pivotSelection>
    </sheetView>
  </sheetViews>
  <sheetFormatPr baseColWidth="10" defaultRowHeight="15" x14ac:dyDescent="0.2"/>
  <cols>
    <col min="1" max="1" width="12.33203125" customWidth="1"/>
    <col min="2" max="2" width="13.33203125" customWidth="1"/>
    <col min="3" max="3" width="8.33203125" bestFit="1" customWidth="1"/>
    <col min="4" max="4" width="10.1640625" customWidth="1"/>
    <col min="5" max="5" width="14.83203125" customWidth="1"/>
    <col min="11" max="11" width="12" customWidth="1"/>
  </cols>
  <sheetData>
    <row r="1" spans="1:20" ht="16" thickBot="1" x14ac:dyDescent="0.25">
      <c r="F1" s="21"/>
      <c r="G1" s="47" t="s">
        <v>0</v>
      </c>
      <c r="H1" s="39" t="s">
        <v>16</v>
      </c>
      <c r="I1" s="22"/>
      <c r="J1" s="22"/>
      <c r="K1" s="22"/>
      <c r="L1" s="22"/>
      <c r="M1" s="22"/>
      <c r="N1" s="22"/>
      <c r="O1" s="23"/>
    </row>
    <row r="2" spans="1:20" ht="16" thickBot="1" x14ac:dyDescent="0.25">
      <c r="A2" s="21"/>
      <c r="B2" s="22"/>
      <c r="C2" s="22"/>
      <c r="D2" s="22"/>
      <c r="E2" s="22"/>
      <c r="F2" s="25"/>
      <c r="J2" s="15"/>
      <c r="K2" s="15"/>
      <c r="O2" s="24"/>
      <c r="P2" s="11" t="s">
        <v>0</v>
      </c>
      <c r="Q2" t="s">
        <v>16</v>
      </c>
    </row>
    <row r="3" spans="1:20" ht="16" thickBot="1" x14ac:dyDescent="0.25">
      <c r="A3" s="37" t="s">
        <v>235</v>
      </c>
      <c r="B3" s="37" t="s">
        <v>234</v>
      </c>
      <c r="C3" s="38"/>
      <c r="D3" s="39"/>
      <c r="F3" s="25"/>
      <c r="G3" s="37" t="s">
        <v>232</v>
      </c>
      <c r="H3" s="44" t="s">
        <v>235</v>
      </c>
      <c r="J3" s="35" t="s">
        <v>243</v>
      </c>
      <c r="K3" s="35" t="s">
        <v>244</v>
      </c>
      <c r="L3" s="35" t="s">
        <v>245</v>
      </c>
      <c r="O3" s="24"/>
    </row>
    <row r="4" spans="1:20" ht="16" thickBot="1" x14ac:dyDescent="0.25">
      <c r="A4" s="37" t="s">
        <v>232</v>
      </c>
      <c r="B4" s="38" t="s">
        <v>25</v>
      </c>
      <c r="C4" s="39" t="s">
        <v>16</v>
      </c>
      <c r="D4" s="44" t="s">
        <v>233</v>
      </c>
      <c r="F4" s="25"/>
      <c r="G4" s="40" t="s">
        <v>39</v>
      </c>
      <c r="H4" s="59">
        <v>3</v>
      </c>
      <c r="J4" s="36" t="s">
        <v>39</v>
      </c>
      <c r="K4" s="14">
        <f>GETPIVOTDATA("Name",$G$3,"Category","Female")</f>
        <v>3</v>
      </c>
      <c r="L4" s="45">
        <f>K4/K6</f>
        <v>2.5423728813559324E-2</v>
      </c>
      <c r="O4" s="24"/>
      <c r="P4" s="11" t="s">
        <v>232</v>
      </c>
      <c r="Q4" t="s">
        <v>235</v>
      </c>
      <c r="R4" s="18" t="s">
        <v>247</v>
      </c>
      <c r="S4" s="18" t="s">
        <v>244</v>
      </c>
      <c r="T4" s="18" t="s">
        <v>245</v>
      </c>
    </row>
    <row r="5" spans="1:20" ht="16" thickBot="1" x14ac:dyDescent="0.25">
      <c r="A5" s="40">
        <v>2020</v>
      </c>
      <c r="B5" s="54">
        <v>5</v>
      </c>
      <c r="C5" s="55">
        <v>6</v>
      </c>
      <c r="D5" s="56">
        <v>11</v>
      </c>
      <c r="F5" s="25"/>
      <c r="G5" s="42" t="s">
        <v>22</v>
      </c>
      <c r="H5" s="60">
        <v>6</v>
      </c>
      <c r="J5" s="36" t="s">
        <v>22</v>
      </c>
      <c r="K5" s="14">
        <f>GETPIVOTDATA("Name",$G$3,"Category","Male")</f>
        <v>6</v>
      </c>
      <c r="L5" s="45">
        <f>K5/K6</f>
        <v>5.0847457627118647E-2</v>
      </c>
      <c r="O5" s="24"/>
      <c r="P5" s="12" t="s">
        <v>30</v>
      </c>
      <c r="Q5" s="49">
        <v>9</v>
      </c>
      <c r="R5" s="16" t="s">
        <v>30</v>
      </c>
      <c r="S5" s="16">
        <f>GETPIVOTDATA("Name",$P$4,"Department","Accounting")</f>
        <v>9</v>
      </c>
      <c r="T5" s="17">
        <f>S5/$S$12</f>
        <v>1</v>
      </c>
    </row>
    <row r="6" spans="1:20" ht="16" thickBot="1" x14ac:dyDescent="0.25">
      <c r="A6" s="41">
        <v>2021</v>
      </c>
      <c r="B6" s="57">
        <v>3</v>
      </c>
      <c r="C6" s="50"/>
      <c r="D6" s="51">
        <v>3</v>
      </c>
      <c r="F6" s="25"/>
      <c r="G6" s="43" t="s">
        <v>233</v>
      </c>
      <c r="H6" s="61">
        <v>9</v>
      </c>
      <c r="J6" s="36" t="s">
        <v>233</v>
      </c>
      <c r="K6" s="14">
        <v>118</v>
      </c>
      <c r="L6" s="45">
        <f>K6/K6</f>
        <v>1</v>
      </c>
      <c r="O6" s="24"/>
      <c r="P6" s="12" t="s">
        <v>233</v>
      </c>
      <c r="Q6" s="49">
        <v>9</v>
      </c>
      <c r="R6" s="16" t="s">
        <v>44</v>
      </c>
      <c r="S6" s="16" t="e">
        <f>GETPIVOTDATA("Name",$P$4,"Department","Finance")</f>
        <v>#REF!</v>
      </c>
      <c r="T6" s="17" t="e">
        <f t="shared" ref="T6:T12" si="0">S6/$S$12</f>
        <v>#REF!</v>
      </c>
    </row>
    <row r="7" spans="1:20" x14ac:dyDescent="0.2">
      <c r="A7" s="41">
        <v>2022</v>
      </c>
      <c r="B7" s="57">
        <v>1</v>
      </c>
      <c r="C7" s="50"/>
      <c r="D7" s="51">
        <v>1</v>
      </c>
      <c r="F7" s="25"/>
      <c r="L7" s="12"/>
      <c r="M7" s="12"/>
      <c r="N7" s="12"/>
      <c r="O7" s="46"/>
      <c r="R7" s="16" t="s">
        <v>49</v>
      </c>
      <c r="S7" s="16" t="e">
        <f>GETPIVOTDATA("Name",$P$4,"Department","HR")</f>
        <v>#REF!</v>
      </c>
      <c r="T7" s="17" t="e">
        <f t="shared" si="0"/>
        <v>#REF!</v>
      </c>
    </row>
    <row r="8" spans="1:20" x14ac:dyDescent="0.2">
      <c r="A8" s="41">
        <v>2023</v>
      </c>
      <c r="B8" s="57"/>
      <c r="C8" s="50">
        <v>1</v>
      </c>
      <c r="D8" s="51">
        <v>1</v>
      </c>
      <c r="F8" s="25"/>
      <c r="O8" s="24"/>
      <c r="R8" s="16" t="s">
        <v>35</v>
      </c>
      <c r="S8" s="16" t="e">
        <f>GETPIVOTDATA("Name",$P$4,"Department","Legal")</f>
        <v>#REF!</v>
      </c>
      <c r="T8" s="17" t="e">
        <f t="shared" si="0"/>
        <v>#REF!</v>
      </c>
    </row>
    <row r="9" spans="1:20" ht="16" thickBot="1" x14ac:dyDescent="0.25">
      <c r="A9" s="42">
        <v>2025</v>
      </c>
      <c r="B9" s="57"/>
      <c r="C9" s="50">
        <v>2</v>
      </c>
      <c r="D9" s="51">
        <v>2</v>
      </c>
      <c r="F9" s="30"/>
      <c r="G9" s="31"/>
      <c r="H9" s="31"/>
      <c r="I9" s="31"/>
      <c r="J9" s="31"/>
      <c r="K9" s="31"/>
      <c r="L9" s="31"/>
      <c r="M9" s="31"/>
      <c r="N9" s="31"/>
      <c r="O9" s="32"/>
      <c r="R9" s="16" t="s">
        <v>40</v>
      </c>
      <c r="S9" s="16" t="e">
        <f>GETPIVOTDATA("Name",$P$4,"Department","Marketing")</f>
        <v>#REF!</v>
      </c>
      <c r="T9" s="17" t="e">
        <f t="shared" si="0"/>
        <v>#REF!</v>
      </c>
    </row>
    <row r="10" spans="1:20" ht="16" thickBot="1" x14ac:dyDescent="0.25">
      <c r="A10" s="43" t="s">
        <v>233</v>
      </c>
      <c r="B10" s="58">
        <v>9</v>
      </c>
      <c r="C10" s="52">
        <v>9</v>
      </c>
      <c r="D10" s="53">
        <v>18</v>
      </c>
      <c r="R10" s="16" t="s">
        <v>24</v>
      </c>
      <c r="S10" s="16" t="e">
        <f>GETPIVOTDATA("Name",$P$4,"Department","Operations")</f>
        <v>#REF!</v>
      </c>
      <c r="T10" s="17" t="e">
        <f t="shared" si="0"/>
        <v>#REF!</v>
      </c>
    </row>
    <row r="11" spans="1:20" x14ac:dyDescent="0.2">
      <c r="R11" s="16" t="s">
        <v>62</v>
      </c>
      <c r="S11" s="16" t="e">
        <f>GETPIVOTDATA("Name",$P$4,"Department","Sales")</f>
        <v>#REF!</v>
      </c>
      <c r="T11" s="17" t="e">
        <f t="shared" si="0"/>
        <v>#REF!</v>
      </c>
    </row>
    <row r="12" spans="1:20" x14ac:dyDescent="0.2">
      <c r="A12" s="25"/>
      <c r="F12" s="33"/>
      <c r="R12" s="16" t="s">
        <v>233</v>
      </c>
      <c r="S12" s="16">
        <f>GETPIVOTDATA("Name",$P$4)</f>
        <v>9</v>
      </c>
      <c r="T12" s="17">
        <f t="shared" si="0"/>
        <v>1</v>
      </c>
    </row>
    <row r="13" spans="1:20" x14ac:dyDescent="0.2">
      <c r="A13" s="26" t="s">
        <v>236</v>
      </c>
      <c r="B13" s="27" t="s">
        <v>237</v>
      </c>
      <c r="E13" s="24"/>
      <c r="M13" s="11" t="s">
        <v>0</v>
      </c>
      <c r="N13" t="s">
        <v>16</v>
      </c>
    </row>
    <row r="14" spans="1:20" x14ac:dyDescent="0.2">
      <c r="A14" s="28" t="s">
        <v>238</v>
      </c>
      <c r="B14" s="13">
        <f>GETPIVOTDATA("Name",$A$3)</f>
        <v>18</v>
      </c>
      <c r="E14" s="24"/>
    </row>
    <row r="15" spans="1:20" x14ac:dyDescent="0.2">
      <c r="A15" s="28" t="s">
        <v>239</v>
      </c>
      <c r="B15" s="13">
        <f>GETPIVOTDATA("Name",$A$3,"Emp Status","On-Board")</f>
        <v>9</v>
      </c>
      <c r="E15" s="24"/>
      <c r="M15" s="11" t="s">
        <v>232</v>
      </c>
      <c r="N15" t="s">
        <v>235</v>
      </c>
    </row>
    <row r="16" spans="1:20" x14ac:dyDescent="0.2">
      <c r="A16" s="28" t="s">
        <v>240</v>
      </c>
      <c r="B16" s="13">
        <f>GETPIVOTDATA("Name",$A$3,"Emp Status","Attrition")</f>
        <v>9</v>
      </c>
      <c r="E16" s="24"/>
      <c r="F16" s="15"/>
      <c r="G16" s="15"/>
      <c r="H16" s="15"/>
      <c r="I16" s="15"/>
      <c r="J16" s="15"/>
      <c r="K16" s="15"/>
      <c r="M16" s="12" t="s">
        <v>89</v>
      </c>
      <c r="N16" s="49">
        <v>4</v>
      </c>
    </row>
    <row r="17" spans="1:20" x14ac:dyDescent="0.2">
      <c r="A17" s="28" t="s">
        <v>241</v>
      </c>
      <c r="B17" s="29">
        <f>GETPIVOTDATA("Name",$A$3,"Emp Status","Attrition")/GETPIVOTDATA("Name",$A$3)</f>
        <v>0.5</v>
      </c>
      <c r="E17" s="24"/>
      <c r="F17" s="15"/>
      <c r="G17" s="15"/>
      <c r="H17" s="15"/>
      <c r="I17" s="15"/>
      <c r="J17" s="15"/>
      <c r="K17" s="15"/>
      <c r="M17" s="12" t="s">
        <v>97</v>
      </c>
      <c r="N17" s="49">
        <v>1</v>
      </c>
      <c r="P17" s="11" t="s">
        <v>0</v>
      </c>
      <c r="Q17" t="s">
        <v>16</v>
      </c>
    </row>
    <row r="18" spans="1:20" x14ac:dyDescent="0.2">
      <c r="A18" s="28" t="s">
        <v>242</v>
      </c>
      <c r="B18" s="13" t="e">
        <f>GETPIVOTDATA("Name",$A$3,"Emp Status","Transfer")</f>
        <v>#REF!</v>
      </c>
      <c r="E18" s="24"/>
      <c r="F18" s="15"/>
      <c r="G18" s="15"/>
      <c r="H18" s="15"/>
      <c r="I18" s="15"/>
      <c r="J18" s="15"/>
      <c r="K18" s="15"/>
      <c r="M18" s="12" t="s">
        <v>29</v>
      </c>
      <c r="N18" s="49">
        <v>4</v>
      </c>
    </row>
    <row r="19" spans="1:20" x14ac:dyDescent="0.2">
      <c r="A19" s="25"/>
      <c r="E19" s="24"/>
      <c r="F19" s="15"/>
      <c r="G19" s="15"/>
      <c r="H19" s="15"/>
      <c r="I19" s="15"/>
      <c r="J19" s="15"/>
      <c r="K19" s="15"/>
      <c r="M19" s="12" t="s">
        <v>233</v>
      </c>
      <c r="N19" s="49">
        <v>9</v>
      </c>
      <c r="P19" s="11" t="s">
        <v>232</v>
      </c>
      <c r="Q19" t="s">
        <v>235</v>
      </c>
      <c r="R19" s="18" t="s">
        <v>248</v>
      </c>
      <c r="S19" s="18" t="s">
        <v>249</v>
      </c>
      <c r="T19" s="18" t="s">
        <v>245</v>
      </c>
    </row>
    <row r="20" spans="1:20" x14ac:dyDescent="0.2">
      <c r="A20" s="25"/>
      <c r="E20" s="24"/>
      <c r="F20" s="15"/>
      <c r="G20" s="15"/>
      <c r="H20" s="15"/>
      <c r="I20" s="15"/>
      <c r="J20" s="15"/>
      <c r="K20" s="15"/>
      <c r="P20" s="12" t="s">
        <v>38</v>
      </c>
      <c r="Q20" s="49">
        <v>3</v>
      </c>
      <c r="R20" s="16" t="s">
        <v>38</v>
      </c>
      <c r="S20" s="16">
        <v>42</v>
      </c>
      <c r="T20" s="17">
        <f>S20/$S$27</f>
        <v>0.3559322033898305</v>
      </c>
    </row>
    <row r="21" spans="1:20" x14ac:dyDescent="0.2">
      <c r="A21" s="34" t="s">
        <v>259</v>
      </c>
      <c r="B21" s="34" t="s">
        <v>260</v>
      </c>
      <c r="C21" s="34" t="s">
        <v>261</v>
      </c>
      <c r="D21" s="34" t="s">
        <v>242</v>
      </c>
      <c r="E21" s="34" t="s">
        <v>262</v>
      </c>
      <c r="F21" s="15"/>
      <c r="G21" s="15"/>
      <c r="H21" s="15"/>
      <c r="I21" s="15"/>
      <c r="J21" s="15"/>
      <c r="K21" s="15"/>
      <c r="P21" s="12" t="s">
        <v>80</v>
      </c>
      <c r="Q21" s="49">
        <v>2</v>
      </c>
      <c r="R21" s="16" t="s">
        <v>57</v>
      </c>
      <c r="S21" s="16">
        <f>GETPIVOTDATA("Name",$P$19,"Reporting Manager","Janelle Wiley")</f>
        <v>2</v>
      </c>
      <c r="T21" s="17">
        <f t="shared" ref="T21:T27" si="1">S21/$S$27</f>
        <v>1.6949152542372881E-2</v>
      </c>
    </row>
    <row r="22" spans="1:20" x14ac:dyDescent="0.2">
      <c r="A22" s="33">
        <f t="shared" ref="A22:A27" si="2">A5</f>
        <v>2020</v>
      </c>
      <c r="B22" s="33">
        <f>GETPIVOTDATA("Name",$A$3,"Emp Status","Attrition","Year",2020)</f>
        <v>5</v>
      </c>
      <c r="C22" s="33">
        <f>GETPIVOTDATA("Name",$A$3,"Emp Status","On-Board","Year",2020)</f>
        <v>6</v>
      </c>
      <c r="D22" s="33">
        <v>0</v>
      </c>
      <c r="E22" s="33">
        <f>C22</f>
        <v>6</v>
      </c>
      <c r="F22" s="15"/>
      <c r="G22" s="15"/>
      <c r="H22" s="15"/>
      <c r="I22" s="15"/>
      <c r="J22" s="15"/>
      <c r="K22" s="15"/>
      <c r="P22" s="12" t="s">
        <v>65</v>
      </c>
      <c r="Q22" s="49">
        <v>2</v>
      </c>
      <c r="R22" s="16" t="s">
        <v>20</v>
      </c>
      <c r="S22" s="16" t="e">
        <f>GETPIVOTDATA("Name",$P$19,"Reporting Manager","Roberta Moyer")</f>
        <v>#REF!</v>
      </c>
      <c r="T22" s="17" t="e">
        <f t="shared" si="1"/>
        <v>#REF!</v>
      </c>
    </row>
    <row r="23" spans="1:20" x14ac:dyDescent="0.2">
      <c r="A23" s="33">
        <f t="shared" si="2"/>
        <v>2021</v>
      </c>
      <c r="B23" s="33">
        <f>GETPIVOTDATA("Name",$A$3,"Emp Status","Attrition","Year",2021)</f>
        <v>3</v>
      </c>
      <c r="C23" s="33">
        <f>GETPIVOTDATA("Name",$A$3,"Emp Status","On-Board","Year",2021)</f>
        <v>0</v>
      </c>
      <c r="D23" s="33" t="e">
        <f>GETPIVOTDATA("Name",$A$3,"Emp Status","Transfer","Year",2021)</f>
        <v>#REF!</v>
      </c>
      <c r="E23" s="33">
        <f>C22+C23</f>
        <v>6</v>
      </c>
      <c r="F23" s="15"/>
      <c r="G23" s="15"/>
      <c r="H23" s="15"/>
      <c r="I23" s="15"/>
      <c r="J23" s="15"/>
      <c r="K23" s="15"/>
      <c r="P23" s="12" t="s">
        <v>57</v>
      </c>
      <c r="Q23" s="49">
        <v>2</v>
      </c>
      <c r="R23" s="16" t="s">
        <v>65</v>
      </c>
      <c r="S23" s="16">
        <v>12</v>
      </c>
      <c r="T23" s="17">
        <f t="shared" si="1"/>
        <v>0.10169491525423729</v>
      </c>
    </row>
    <row r="24" spans="1:20" x14ac:dyDescent="0.2">
      <c r="A24" s="33">
        <f t="shared" si="2"/>
        <v>2022</v>
      </c>
      <c r="B24" s="33">
        <f>GETPIVOTDATA("Name",$A$3,"Emp Status","Attrition","Year",2022)</f>
        <v>1</v>
      </c>
      <c r="C24" s="33">
        <f>GETPIVOTDATA("Name",$A$3,"Emp Status","On-Board","Year",2022)</f>
        <v>0</v>
      </c>
      <c r="D24" s="33" t="e">
        <f>GETPIVOTDATA("Name",$A$3,"Emp Status","Transfer","Year",2022)</f>
        <v>#REF!</v>
      </c>
      <c r="E24" s="33">
        <f>E23+C24</f>
        <v>6</v>
      </c>
      <c r="F24" s="15"/>
      <c r="G24" s="15"/>
      <c r="H24" s="15"/>
      <c r="I24" s="15"/>
      <c r="J24" s="15"/>
      <c r="K24" s="15"/>
      <c r="P24" s="12" t="s">
        <v>233</v>
      </c>
      <c r="Q24" s="49">
        <v>9</v>
      </c>
      <c r="R24" s="16" t="s">
        <v>43</v>
      </c>
      <c r="S24" s="16" t="e">
        <f>GETPIVOTDATA("Name",$P$19,"Reporting Manager","Darryl Leon")</f>
        <v>#REF!</v>
      </c>
      <c r="T24" s="17" t="e">
        <f t="shared" si="1"/>
        <v>#REF!</v>
      </c>
    </row>
    <row r="25" spans="1:20" x14ac:dyDescent="0.2">
      <c r="A25" s="33">
        <f t="shared" si="2"/>
        <v>2023</v>
      </c>
      <c r="B25" s="33">
        <f>GETPIVOTDATA("Name",$A$3,"Emp Status","Attrition","Year",2023)</f>
        <v>0</v>
      </c>
      <c r="C25" s="33">
        <f>GETPIVOTDATA("Name",$A$3,"Emp Status","On-Board","Year",2023)</f>
        <v>1</v>
      </c>
      <c r="D25" s="33" t="e">
        <f>GETPIVOTDATA("Name",$A$3,"Emp Status","Transfer","Year",2023)</f>
        <v>#REF!</v>
      </c>
      <c r="E25" s="33">
        <f>E24+C25</f>
        <v>7</v>
      </c>
      <c r="F25" s="15"/>
      <c r="G25" s="15"/>
      <c r="H25" s="15"/>
      <c r="I25" s="15"/>
      <c r="J25" s="15"/>
      <c r="K25" s="15"/>
      <c r="R25" s="16" t="s">
        <v>80</v>
      </c>
      <c r="S25" s="16">
        <f>GETPIVOTDATA("Name",$P$19,"Reporting Manager","Jefferson Perry")</f>
        <v>2</v>
      </c>
      <c r="T25" s="17">
        <f t="shared" si="1"/>
        <v>1.6949152542372881E-2</v>
      </c>
    </row>
    <row r="26" spans="1:20" x14ac:dyDescent="0.2">
      <c r="A26" s="33">
        <f t="shared" si="2"/>
        <v>2025</v>
      </c>
      <c r="B26" s="33">
        <v>0</v>
      </c>
      <c r="C26" s="33" t="e">
        <f>GETPIVOTDATA("Name",$A$3,"Emp Status","On-Board","Year",2024)</f>
        <v>#REF!</v>
      </c>
      <c r="D26" s="33">
        <v>0</v>
      </c>
      <c r="E26" s="33" t="e">
        <f>E25+C26</f>
        <v>#REF!</v>
      </c>
      <c r="M26" s="18" t="s">
        <v>246</v>
      </c>
      <c r="N26" s="18" t="s">
        <v>244</v>
      </c>
      <c r="O26" s="18" t="s">
        <v>245</v>
      </c>
      <c r="R26" s="16" t="s">
        <v>52</v>
      </c>
      <c r="S26" s="16" t="e">
        <f>GETPIVOTDATA("Name",$P$19,"Reporting Manager","Geneva Hardy")</f>
        <v>#REF!</v>
      </c>
      <c r="T26" s="17" t="e">
        <f t="shared" si="1"/>
        <v>#REF!</v>
      </c>
    </row>
    <row r="27" spans="1:20" x14ac:dyDescent="0.2">
      <c r="A27" s="33" t="str">
        <f t="shared" si="2"/>
        <v>Grand Total</v>
      </c>
      <c r="B27" s="33">
        <f>GETPIVOTDATA("Name",$A$3,"Emp Status","Attrition","Year",2025)</f>
        <v>0</v>
      </c>
      <c r="C27" s="33">
        <f>GETPIVOTDATA("Name",$A$3,"Emp Status","On-Board","Year",2025)</f>
        <v>2</v>
      </c>
      <c r="D27" s="33">
        <v>0</v>
      </c>
      <c r="E27" s="33" t="e">
        <f>E26+C27</f>
        <v>#REF!</v>
      </c>
      <c r="M27" s="14" t="s">
        <v>21</v>
      </c>
      <c r="N27" s="14" t="e">
        <f>GETPIVOTDATA("Name",$M$15,"Grade","Contract")</f>
        <v>#REF!</v>
      </c>
      <c r="O27" s="19" t="e">
        <f>N27/$N$31</f>
        <v>#REF!</v>
      </c>
      <c r="R27" s="16" t="s">
        <v>233</v>
      </c>
      <c r="S27" s="16">
        <v>118</v>
      </c>
      <c r="T27" s="17">
        <f t="shared" si="1"/>
        <v>1</v>
      </c>
    </row>
    <row r="28" spans="1:20" x14ac:dyDescent="0.2">
      <c r="A28" s="33"/>
      <c r="B28" s="33"/>
      <c r="C28" s="33"/>
      <c r="D28" s="33"/>
      <c r="E28" s="33"/>
      <c r="M28" s="14" t="s">
        <v>89</v>
      </c>
      <c r="N28" s="14">
        <f>GETPIVOTDATA("Name",$M$15,"Grade","Management")</f>
        <v>4</v>
      </c>
      <c r="O28" s="19">
        <f>N28/$N$31</f>
        <v>0.44444444444444442</v>
      </c>
    </row>
    <row r="29" spans="1:20" x14ac:dyDescent="0.2">
      <c r="A29" s="33"/>
      <c r="B29" s="33"/>
      <c r="C29" s="33"/>
      <c r="D29" s="33"/>
      <c r="E29" s="33"/>
      <c r="M29" s="14" t="s">
        <v>97</v>
      </c>
      <c r="N29" s="14">
        <f>GETPIVOTDATA("Name",$M$15,"Grade","Professional")</f>
        <v>1</v>
      </c>
      <c r="O29" s="19">
        <f>N29/$N$31</f>
        <v>0.1111111111111111</v>
      </c>
    </row>
    <row r="30" spans="1:20" x14ac:dyDescent="0.2">
      <c r="A30" s="33"/>
      <c r="B30" s="33"/>
      <c r="C30" s="33"/>
      <c r="D30" s="33"/>
      <c r="E30" s="33"/>
      <c r="M30" s="14" t="s">
        <v>29</v>
      </c>
      <c r="N30" s="14">
        <f>GETPIVOTDATA("Name",$M$15,"Grade","Trainees")</f>
        <v>4</v>
      </c>
      <c r="O30" s="19">
        <f>N30/$N$31</f>
        <v>0.44444444444444442</v>
      </c>
      <c r="P30" s="11" t="s">
        <v>0</v>
      </c>
      <c r="Q30" t="s">
        <v>16</v>
      </c>
    </row>
    <row r="31" spans="1:20" x14ac:dyDescent="0.2">
      <c r="A31" s="33"/>
      <c r="B31" s="33"/>
      <c r="C31" s="33"/>
      <c r="D31" s="33"/>
      <c r="E31" s="33"/>
      <c r="M31" s="14" t="s">
        <v>233</v>
      </c>
      <c r="N31" s="14">
        <f>GETPIVOTDATA("Name",$M$15)</f>
        <v>9</v>
      </c>
      <c r="O31" s="19">
        <f>N31/$N$31</f>
        <v>1</v>
      </c>
    </row>
    <row r="32" spans="1:20" x14ac:dyDescent="0.2">
      <c r="A32" s="25"/>
      <c r="E32" s="24"/>
      <c r="P32" s="11" t="s">
        <v>232</v>
      </c>
      <c r="Q32" t="s">
        <v>235</v>
      </c>
      <c r="R32" s="18" t="s">
        <v>250</v>
      </c>
      <c r="S32" s="18" t="s">
        <v>249</v>
      </c>
      <c r="T32" s="18" t="s">
        <v>245</v>
      </c>
    </row>
    <row r="33" spans="1:20" x14ac:dyDescent="0.2">
      <c r="A33" s="25"/>
      <c r="E33" s="24"/>
      <c r="P33" s="12" t="s">
        <v>86</v>
      </c>
      <c r="Q33" s="49">
        <v>9</v>
      </c>
      <c r="R33" s="16" t="s">
        <v>21</v>
      </c>
      <c r="S33" s="16" t="e">
        <f>GETPIVOTDATA("Name",$P$32,"Emp Type","Contract")</f>
        <v>#REF!</v>
      </c>
      <c r="T33" s="17" t="e">
        <f>S33/S35</f>
        <v>#REF!</v>
      </c>
    </row>
    <row r="34" spans="1:20" ht="16" thickBot="1" x14ac:dyDescent="0.25">
      <c r="A34" s="30"/>
      <c r="B34" s="31"/>
      <c r="C34" s="31"/>
      <c r="D34" s="31"/>
      <c r="E34" s="32"/>
      <c r="P34" s="12" t="s">
        <v>233</v>
      </c>
      <c r="Q34" s="49">
        <v>9</v>
      </c>
      <c r="R34" s="16" t="s">
        <v>86</v>
      </c>
      <c r="S34" s="16">
        <f>GETPIVOTDATA("Name",$P$32,"Emp Type","Permanent")</f>
        <v>9</v>
      </c>
      <c r="T34" s="17">
        <f>S34/S35</f>
        <v>1</v>
      </c>
    </row>
    <row r="35" spans="1:20" x14ac:dyDescent="0.2">
      <c r="R35" s="16" t="s">
        <v>233</v>
      </c>
      <c r="S35" s="16">
        <f>GETPIVOTDATA("Name",$P$32)</f>
        <v>9</v>
      </c>
      <c r="T35" s="17">
        <f>S35/S35</f>
        <v>1</v>
      </c>
    </row>
    <row r="38" spans="1:20" x14ac:dyDescent="0.2">
      <c r="P38" s="11" t="s">
        <v>0</v>
      </c>
      <c r="Q38" t="s">
        <v>16</v>
      </c>
      <c r="R38" s="16" t="s">
        <v>257</v>
      </c>
    </row>
    <row r="40" spans="1:20" x14ac:dyDescent="0.2">
      <c r="P40" s="11" t="s">
        <v>232</v>
      </c>
      <c r="Q40" t="s">
        <v>235</v>
      </c>
      <c r="R40" s="18" t="s">
        <v>258</v>
      </c>
      <c r="S40" s="18" t="s">
        <v>244</v>
      </c>
      <c r="T40" s="18" t="s">
        <v>245</v>
      </c>
    </row>
    <row r="41" spans="1:20" x14ac:dyDescent="0.2">
      <c r="P41" s="12" t="s">
        <v>256</v>
      </c>
      <c r="Q41" s="49">
        <v>6</v>
      </c>
      <c r="R41" s="13" t="s">
        <v>256</v>
      </c>
      <c r="S41" s="13">
        <f>GETPIVOTDATA("Name",$P$40,"Stability","5+ years")</f>
        <v>6</v>
      </c>
      <c r="T41" s="20">
        <f>S41/$S$47</f>
        <v>0.66666666666666663</v>
      </c>
    </row>
    <row r="42" spans="1:20" x14ac:dyDescent="0.2">
      <c r="P42" s="12" t="s">
        <v>253</v>
      </c>
      <c r="Q42" s="49">
        <v>1</v>
      </c>
      <c r="R42" s="13" t="s">
        <v>255</v>
      </c>
      <c r="S42" s="13" t="e">
        <f>GETPIVOTDATA("Name",$P$40,"Stability","4+ years")</f>
        <v>#REF!</v>
      </c>
      <c r="T42" s="20" t="e">
        <f t="shared" ref="T42:T47" si="3">S42/$S$47</f>
        <v>#REF!</v>
      </c>
    </row>
    <row r="43" spans="1:20" x14ac:dyDescent="0.2">
      <c r="P43" s="12" t="s">
        <v>252</v>
      </c>
      <c r="Q43" s="49">
        <v>2</v>
      </c>
      <c r="R43" s="13" t="s">
        <v>254</v>
      </c>
      <c r="S43" s="13" t="e">
        <f>GETPIVOTDATA("Name",$P$40,"Stability","3+ years")</f>
        <v>#REF!</v>
      </c>
      <c r="T43" s="20" t="e">
        <f t="shared" si="3"/>
        <v>#REF!</v>
      </c>
    </row>
    <row r="44" spans="1:20" x14ac:dyDescent="0.2">
      <c r="P44" s="12" t="s">
        <v>233</v>
      </c>
      <c r="Q44" s="49">
        <v>9</v>
      </c>
      <c r="R44" s="13" t="s">
        <v>253</v>
      </c>
      <c r="S44" s="13">
        <f>GETPIVOTDATA("Name",$P$40,"Stability","2+ years")</f>
        <v>1</v>
      </c>
      <c r="T44" s="20">
        <f t="shared" si="3"/>
        <v>0.1111111111111111</v>
      </c>
    </row>
    <row r="45" spans="1:20" x14ac:dyDescent="0.2">
      <c r="R45" s="13" t="s">
        <v>252</v>
      </c>
      <c r="S45" s="13">
        <f>GETPIVOTDATA("Name",$P$40,"Stability","1+ years")</f>
        <v>2</v>
      </c>
      <c r="T45" s="20">
        <f t="shared" si="3"/>
        <v>0.22222222222222221</v>
      </c>
    </row>
    <row r="46" spans="1:20" x14ac:dyDescent="0.2">
      <c r="R46" s="13" t="s">
        <v>251</v>
      </c>
      <c r="S46" s="13" t="e">
        <f>GETPIVOTDATA("Name",$P$40,"Stability","&lt;1 year")</f>
        <v>#REF!</v>
      </c>
      <c r="T46" s="20" t="e">
        <f t="shared" si="3"/>
        <v>#REF!</v>
      </c>
    </row>
    <row r="47" spans="1:20" x14ac:dyDescent="0.2">
      <c r="R47" s="13" t="s">
        <v>233</v>
      </c>
      <c r="S47" s="13">
        <f>GETPIVOTDATA("Name",$P$40)</f>
        <v>9</v>
      </c>
      <c r="T47" s="20">
        <f t="shared" si="3"/>
        <v>1</v>
      </c>
    </row>
  </sheetData>
  <sortState xmlns:xlrd2="http://schemas.microsoft.com/office/spreadsheetml/2017/richdata2" ref="R20:S26">
    <sortCondition descending="1" ref="S20:S26"/>
  </sortState>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CCFC-3B9C-7E43-8330-DF7DB1D4B35D}">
  <dimension ref="A3:B26"/>
  <sheetViews>
    <sheetView workbookViewId="0">
      <selection activeCell="A3" sqref="A3"/>
    </sheetView>
  </sheetViews>
  <sheetFormatPr baseColWidth="10" defaultRowHeight="15" x14ac:dyDescent="0.2"/>
  <cols>
    <col min="1" max="1" width="12.1640625" bestFit="1" customWidth="1"/>
    <col min="2" max="2" width="20" bestFit="1" customWidth="1"/>
  </cols>
  <sheetData>
    <row r="3" spans="1:2" x14ac:dyDescent="0.2">
      <c r="A3" s="11" t="s">
        <v>232</v>
      </c>
      <c r="B3" t="s">
        <v>274</v>
      </c>
    </row>
    <row r="4" spans="1:2" x14ac:dyDescent="0.2">
      <c r="A4" s="12" t="s">
        <v>273</v>
      </c>
      <c r="B4" s="49">
        <v>18</v>
      </c>
    </row>
    <row r="5" spans="1:2" x14ac:dyDescent="0.2">
      <c r="A5" s="48" t="s">
        <v>263</v>
      </c>
      <c r="B5" s="49">
        <v>18</v>
      </c>
    </row>
    <row r="6" spans="1:2" x14ac:dyDescent="0.2">
      <c r="A6" s="12" t="s">
        <v>264</v>
      </c>
      <c r="B6" s="49">
        <v>15</v>
      </c>
    </row>
    <row r="7" spans="1:2" x14ac:dyDescent="0.2">
      <c r="A7" s="48" t="s">
        <v>17</v>
      </c>
      <c r="B7" s="49">
        <v>5</v>
      </c>
    </row>
    <row r="8" spans="1:2" x14ac:dyDescent="0.2">
      <c r="A8" s="48" t="s">
        <v>263</v>
      </c>
      <c r="B8" s="49">
        <v>10</v>
      </c>
    </row>
    <row r="9" spans="1:2" x14ac:dyDescent="0.2">
      <c r="A9" s="12" t="s">
        <v>265</v>
      </c>
      <c r="B9" s="49">
        <v>31</v>
      </c>
    </row>
    <row r="10" spans="1:2" x14ac:dyDescent="0.2">
      <c r="A10" s="48" t="s">
        <v>263</v>
      </c>
      <c r="B10" s="49">
        <v>31</v>
      </c>
    </row>
    <row r="11" spans="1:2" x14ac:dyDescent="0.2">
      <c r="A11" s="12" t="s">
        <v>266</v>
      </c>
      <c r="B11" s="49">
        <v>13</v>
      </c>
    </row>
    <row r="12" spans="1:2" x14ac:dyDescent="0.2">
      <c r="A12" s="48" t="s">
        <v>17</v>
      </c>
      <c r="B12" s="49">
        <v>13</v>
      </c>
    </row>
    <row r="13" spans="1:2" x14ac:dyDescent="0.2">
      <c r="A13" s="12" t="s">
        <v>267</v>
      </c>
      <c r="B13" s="49">
        <v>0</v>
      </c>
    </row>
    <row r="14" spans="1:2" x14ac:dyDescent="0.2">
      <c r="A14" s="48" t="s">
        <v>263</v>
      </c>
      <c r="B14" s="49">
        <v>0</v>
      </c>
    </row>
    <row r="15" spans="1:2" x14ac:dyDescent="0.2">
      <c r="A15" s="12" t="s">
        <v>268</v>
      </c>
      <c r="B15" s="49">
        <v>36.5</v>
      </c>
    </row>
    <row r="16" spans="1:2" x14ac:dyDescent="0.2">
      <c r="A16" s="48" t="s">
        <v>263</v>
      </c>
      <c r="B16" s="49">
        <v>36.5</v>
      </c>
    </row>
    <row r="17" spans="1:2" x14ac:dyDescent="0.2">
      <c r="A17" s="12" t="s">
        <v>269</v>
      </c>
      <c r="B17" s="49">
        <v>31.5</v>
      </c>
    </row>
    <row r="18" spans="1:2" x14ac:dyDescent="0.2">
      <c r="A18" s="48" t="s">
        <v>17</v>
      </c>
      <c r="B18" s="49">
        <v>13</v>
      </c>
    </row>
    <row r="19" spans="1:2" x14ac:dyDescent="0.2">
      <c r="A19" s="48" t="s">
        <v>263</v>
      </c>
      <c r="B19" s="49">
        <v>18.5</v>
      </c>
    </row>
    <row r="20" spans="1:2" x14ac:dyDescent="0.2">
      <c r="A20" s="12" t="s">
        <v>270</v>
      </c>
      <c r="B20" s="49">
        <v>5.3</v>
      </c>
    </row>
    <row r="21" spans="1:2" x14ac:dyDescent="0.2">
      <c r="A21" s="48" t="s">
        <v>133</v>
      </c>
      <c r="B21" s="49">
        <v>5.3</v>
      </c>
    </row>
    <row r="22" spans="1:2" x14ac:dyDescent="0.2">
      <c r="A22" s="12" t="s">
        <v>271</v>
      </c>
      <c r="B22" s="49">
        <v>6</v>
      </c>
    </row>
    <row r="23" spans="1:2" x14ac:dyDescent="0.2">
      <c r="A23" s="48" t="s">
        <v>263</v>
      </c>
      <c r="B23" s="49">
        <v>6</v>
      </c>
    </row>
    <row r="24" spans="1:2" x14ac:dyDescent="0.2">
      <c r="A24" s="12" t="s">
        <v>272</v>
      </c>
      <c r="B24" s="49">
        <v>8</v>
      </c>
    </row>
    <row r="25" spans="1:2" x14ac:dyDescent="0.2">
      <c r="A25" s="48" t="s">
        <v>263</v>
      </c>
      <c r="B25" s="49">
        <v>8</v>
      </c>
    </row>
    <row r="26" spans="1:2" x14ac:dyDescent="0.2">
      <c r="A26" s="12" t="s">
        <v>233</v>
      </c>
      <c r="B26" s="49">
        <v>164.3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17E2-D94D-DE40-8354-F5BE5BEB6306}">
  <dimension ref="A1"/>
  <sheetViews>
    <sheetView showGridLines="0" tabSelected="1" zoomScale="83" workbookViewId="0">
      <selection activeCell="Y32" sqref="Y32"/>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E888-6FA6-4368-A4D2-2B51B2CD03BB}">
  <dimension ref="A1:Q172"/>
  <sheetViews>
    <sheetView workbookViewId="0">
      <selection activeCell="A2" sqref="A2:A172"/>
    </sheetView>
  </sheetViews>
  <sheetFormatPr baseColWidth="10" defaultColWidth="8.83203125" defaultRowHeight="15" x14ac:dyDescent="0.2"/>
  <sheetData>
    <row r="1" spans="1:17" ht="30" x14ac:dyDescent="0.2">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0" t="s">
        <v>231</v>
      </c>
    </row>
    <row r="2" spans="1:17" x14ac:dyDescent="0.2">
      <c r="A2" s="3" t="s">
        <v>16</v>
      </c>
      <c r="B2" s="3" t="s">
        <v>17</v>
      </c>
      <c r="C2" s="4" t="s">
        <v>18</v>
      </c>
      <c r="D2" s="5" t="s">
        <v>19</v>
      </c>
      <c r="E2" s="6" t="d">
        <v>2020-04-29</v>
      </c>
      <c r="F2" s="6"/>
      <c r="G2" s="7" t="s">
        <v>20</v>
      </c>
      <c r="H2" s="4" t="s">
        <v>21</v>
      </c>
      <c r="I2" s="4" t="s">
        <v>22</v>
      </c>
      <c r="J2" s="8" t="d">
        <v>2021-07-13</v>
      </c>
      <c r="K2" s="8" t="s">
        <v>23</v>
      </c>
      <c r="L2" s="5" t="s">
        <v>21</v>
      </c>
      <c r="M2" s="5" t="s">
        <v>24</v>
      </c>
      <c r="N2" s="5">
        <v>0</v>
      </c>
      <c r="O2" s="9">
        <f>YEAR(Table2[[#This Row],[Date of Joining]])</f>
        <v>2020</v>
      </c>
      <c r="P2" s="9" t="str">
        <f ca="1">IF(DATEDIF(E2,TODAY(),"Y")&gt;=5,"5+ years",
IF(DATEDIF(E2,TODAY(),"Y")&gt;=4,"4+ years",
IF(DATEDIF(E2,TODAY(),"Y")&gt;=3,"3+ years",
IF(DATEDIF(E2,TODAY(),"Y")&gt;=2,"2+ years",
IF(DATEDIF(E2,TODAY(),"Y")&gt;=1,"1+ years","&lt;1 year")))))</f>
        <v>5+ years</v>
      </c>
    </row>
    <row r="3" spans="1:17" x14ac:dyDescent="0.2">
      <c r="A3" s="3" t="s">
        <v>25</v>
      </c>
      <c r="B3" s="3"/>
      <c r="C3" s="4" t="s">
        <v>26</v>
      </c>
      <c r="D3" s="5" t="s">
        <v>27</v>
      </c>
      <c r="E3" s="6" t="d">
        <v>2020-09-01</v>
      </c>
      <c r="F3" s="6" t="d">
        <v>2020-12-18</v>
      </c>
      <c r="G3" s="7" t="s">
        <v>20</v>
      </c>
      <c r="H3" s="4" t="s">
        <v>21</v>
      </c>
      <c r="I3" s="4" t="s">
        <v>22</v>
      </c>
      <c r="J3" s="8" t="d">
        <v>2021-10-03</v>
      </c>
      <c r="K3" s="8" t="s">
        <v>28</v>
      </c>
      <c r="L3" s="5" t="s">
        <v>29</v>
      </c>
      <c r="M3" s="5" t="s">
        <v>30</v>
      </c>
      <c r="N3" s="5">
        <v>6.5</v>
      </c>
      <c r="O3" s="9">
        <f>YEAR(Table2[[#This Row],[Date of Joining]])</f>
        <v>2020</v>
      </c>
      <c r="P3" s="9" t="str">
        <f t="shared" ref="P3:P65" ca="1" si="0">IF(DATEDIF(E3,TODAY(),"Y")&gt;=5,"5+ years",
IF(DATEDIF(E3,TODAY(),"Y")&gt;=4,"4+ years",
IF(DATEDIF(E3,TODAY(),"Y")&gt;=3,"3+ years",
IF(DATEDIF(E3,TODAY(),"Y")&gt;=2,"2+ years",
IF(DATEDIF(E3,TODAY(),"Y")&gt;=1,"1+ years","&lt;1 year")))))</f>
        <v>5+ years</v>
      </c>
    </row>
    <row r="4" spans="1:17" x14ac:dyDescent="0.2">
      <c r="A4" s="3" t="s">
        <v>16</v>
      </c>
      <c r="B4" s="3"/>
      <c r="C4" s="4" t="s">
        <v>31</v>
      </c>
      <c r="D4" s="5" t="s">
        <v>32</v>
      </c>
      <c r="E4" s="6" t="d">
        <v>2021-01-01</v>
      </c>
      <c r="F4" s="6"/>
      <c r="G4" s="7" t="s">
        <v>20</v>
      </c>
      <c r="H4" s="4" t="s">
        <v>21</v>
      </c>
      <c r="I4" s="4" t="s">
        <v>22</v>
      </c>
      <c r="J4" s="8" t="d">
        <v>2021-02-09</v>
      </c>
      <c r="K4" s="8" t="s">
        <v>23</v>
      </c>
      <c r="L4" s="5" t="s">
        <v>21</v>
      </c>
      <c r="M4" s="5" t="s">
        <v>24</v>
      </c>
      <c r="N4" s="5">
        <v>4.8</v>
      </c>
      <c r="O4" s="9">
        <f>YEAR(Table2[[#This Row],[Date of Joining]])</f>
        <v>2021</v>
      </c>
      <c r="P4" s="9" t="str">
        <f t="shared" ca="1" si="0"/>
        <v>5+ years</v>
      </c>
    </row>
    <row r="5" spans="1:17" x14ac:dyDescent="0.2">
      <c r="A5" s="3" t="s">
        <v>16</v>
      </c>
      <c r="B5" s="3"/>
      <c r="C5" s="4" t="s">
        <v>33</v>
      </c>
      <c r="D5" s="5" t="s">
        <v>34</v>
      </c>
      <c r="E5" s="6" t="d">
        <v>2021-02-09</v>
      </c>
      <c r="F5" s="6"/>
      <c r="G5" s="7" t="s">
        <v>20</v>
      </c>
      <c r="H5" s="4" t="s">
        <v>21</v>
      </c>
      <c r="I5" s="4" t="s">
        <v>22</v>
      </c>
      <c r="J5" s="8" t="d">
        <v>2021-03-14</v>
      </c>
      <c r="K5" s="8" t="s">
        <v>23</v>
      </c>
      <c r="L5" s="5" t="s">
        <v>21</v>
      </c>
      <c r="M5" s="5" t="s">
        <v>35</v>
      </c>
      <c r="N5" s="5">
        <v>14</v>
      </c>
      <c r="O5" s="9">
        <f>YEAR(Table2[[#This Row],[Date of Joining]])</f>
        <v>2021</v>
      </c>
      <c r="P5" s="9" t="str">
        <f t="shared" ca="1" si="0"/>
        <v>5+ years</v>
      </c>
    </row>
    <row r="6" spans="1:17" x14ac:dyDescent="0.2">
      <c r="A6" s="3" t="s">
        <v>25</v>
      </c>
      <c r="B6" s="3"/>
      <c r="C6" s="4" t="s">
        <v>36</v>
      </c>
      <c r="D6" s="5" t="s">
        <v>37</v>
      </c>
      <c r="E6" s="6" t="d">
        <v>2021-09-30</v>
      </c>
      <c r="F6" s="6" t="d">
        <v>2022-09-30</v>
      </c>
      <c r="G6" s="7" t="s">
        <v>38</v>
      </c>
      <c r="H6" s="4" t="s">
        <v>21</v>
      </c>
      <c r="I6" s="4" t="s">
        <v>39</v>
      </c>
      <c r="J6" s="8" t="d">
        <v>2021-04-11</v>
      </c>
      <c r="K6" s="8" t="s">
        <v>23</v>
      </c>
      <c r="L6" s="5" t="s">
        <v>21</v>
      </c>
      <c r="M6" s="5" t="s">
        <v>40</v>
      </c>
      <c r="N6" s="5">
        <v>0</v>
      </c>
      <c r="O6" s="9">
        <f>YEAR(Table2[[#This Row],[Date of Joining]])</f>
        <v>2021</v>
      </c>
      <c r="P6" s="9" t="str">
        <f t="shared" ca="1" si="0"/>
        <v>4+ years</v>
      </c>
    </row>
    <row r="7" spans="1:17" x14ac:dyDescent="0.2">
      <c r="A7" s="3" t="s">
        <v>25</v>
      </c>
      <c r="B7" s="3"/>
      <c r="C7" s="4" t="s">
        <v>41</v>
      </c>
      <c r="D7" s="5" t="s">
        <v>42</v>
      </c>
      <c r="E7" s="6" t="d">
        <v>2022-04-04</v>
      </c>
      <c r="F7" s="6" t="d">
        <v>2022-07-16</v>
      </c>
      <c r="G7" s="5" t="s">
        <v>43</v>
      </c>
      <c r="H7" s="4" t="s">
        <v>21</v>
      </c>
      <c r="I7" s="4" t="s">
        <v>22</v>
      </c>
      <c r="J7" s="8" t="d">
        <v>2021-08-23</v>
      </c>
      <c r="K7" s="8" t="s">
        <v>23</v>
      </c>
      <c r="L7" s="5" t="s">
        <v>21</v>
      </c>
      <c r="M7" s="5" t="s">
        <v>44</v>
      </c>
      <c r="N7" s="5">
        <v>2</v>
      </c>
      <c r="O7" s="9">
        <f>YEAR(Table2[[#This Row],[Date of Joining]])</f>
        <v>2022</v>
      </c>
      <c r="P7" s="9" t="str">
        <f t="shared" ca="1" si="0"/>
        <v>4+ years</v>
      </c>
    </row>
    <row r="8" spans="1:17" x14ac:dyDescent="0.2">
      <c r="A8" s="3" t="s">
        <v>25</v>
      </c>
      <c r="B8" s="3"/>
      <c r="C8" s="4" t="s">
        <v>45</v>
      </c>
      <c r="D8" s="5" t="s">
        <v>46</v>
      </c>
      <c r="E8" s="6" t="d">
        <v>2022-06-03</v>
      </c>
      <c r="F8" s="6" t="d">
        <v>2023-01-25</v>
      </c>
      <c r="G8" s="7" t="s">
        <v>38</v>
      </c>
      <c r="H8" s="4" t="s">
        <v>21</v>
      </c>
      <c r="I8" s="4" t="s">
        <v>22</v>
      </c>
      <c r="J8" s="8" t="d">
        <v>2021-01-30</v>
      </c>
      <c r="K8" s="8" t="s">
        <v>23</v>
      </c>
      <c r="L8" s="5" t="s">
        <v>21</v>
      </c>
      <c r="M8" s="5" t="s">
        <v>40</v>
      </c>
      <c r="N8" s="5">
        <v>2.8</v>
      </c>
      <c r="O8" s="9">
        <f>YEAR(Table2[[#This Row],[Date of Joining]])</f>
        <v>2022</v>
      </c>
      <c r="P8" s="9" t="str">
        <f t="shared" ca="1" si="0"/>
        <v>4+ years</v>
      </c>
    </row>
    <row r="9" spans="1:17" x14ac:dyDescent="0.2">
      <c r="A9" s="3" t="s">
        <v>25</v>
      </c>
      <c r="B9" s="3"/>
      <c r="C9" s="4" t="s">
        <v>47</v>
      </c>
      <c r="D9" s="5" t="s">
        <v>48</v>
      </c>
      <c r="E9" s="6" t="d">
        <v>2022-06-09</v>
      </c>
      <c r="F9" s="6" t="d">
        <v>2023-08-11</v>
      </c>
      <c r="G9" s="7" t="s">
        <v>38</v>
      </c>
      <c r="H9" s="4" t="s">
        <v>21</v>
      </c>
      <c r="I9" s="4" t="s">
        <v>22</v>
      </c>
      <c r="J9" s="8" t="d">
        <v>2021-10-28</v>
      </c>
      <c r="K9" s="8" t="s">
        <v>23</v>
      </c>
      <c r="L9" s="5" t="s">
        <v>21</v>
      </c>
      <c r="M9" s="5" t="s">
        <v>49</v>
      </c>
      <c r="N9" s="5">
        <v>0</v>
      </c>
      <c r="O9" s="9">
        <f>YEAR(Table2[[#This Row],[Date of Joining]])</f>
        <v>2022</v>
      </c>
      <c r="P9" s="9" t="str">
        <f t="shared" ca="1" si="0"/>
        <v>4+ years</v>
      </c>
    </row>
    <row r="10" spans="1:17" x14ac:dyDescent="0.2">
      <c r="A10" s="3" t="s">
        <v>25</v>
      </c>
      <c r="B10" s="3"/>
      <c r="C10" s="4" t="s">
        <v>50</v>
      </c>
      <c r="D10" s="5" t="s">
        <v>51</v>
      </c>
      <c r="E10" s="6" t="d">
        <v>2022-07-07</v>
      </c>
      <c r="F10" s="6" t="d">
        <v>2023-08-30</v>
      </c>
      <c r="G10" s="5" t="s">
        <v>52</v>
      </c>
      <c r="H10" s="4" t="s">
        <v>21</v>
      </c>
      <c r="I10" s="4" t="s">
        <v>22</v>
      </c>
      <c r="J10" s="8" t="d">
        <v>2021-12-26</v>
      </c>
      <c r="K10" s="8" t="s">
        <v>23</v>
      </c>
      <c r="L10" s="5" t="s">
        <v>21</v>
      </c>
      <c r="M10" s="5" t="s">
        <v>49</v>
      </c>
      <c r="N10" s="5">
        <v>3</v>
      </c>
      <c r="O10" s="9">
        <f>YEAR(Table2[[#This Row],[Date of Joining]])</f>
        <v>2022</v>
      </c>
      <c r="P10" s="9" t="str">
        <f t="shared" ca="1" si="0"/>
        <v>3+ years</v>
      </c>
    </row>
    <row r="11" spans="1:17" x14ac:dyDescent="0.2">
      <c r="A11" s="3" t="s">
        <v>25</v>
      </c>
      <c r="B11" s="3"/>
      <c r="C11" s="4" t="s">
        <v>53</v>
      </c>
      <c r="D11" s="5" t="s">
        <v>54</v>
      </c>
      <c r="E11" s="6" t="d">
        <v>2022-08-04</v>
      </c>
      <c r="F11" s="6" t="d">
        <v>2023-05-13</v>
      </c>
      <c r="G11" s="7" t="s">
        <v>38</v>
      </c>
      <c r="H11" s="4" t="s">
        <v>21</v>
      </c>
      <c r="I11" s="4" t="s">
        <v>22</v>
      </c>
      <c r="J11" s="8" t="d">
        <v>2021-04-07</v>
      </c>
      <c r="K11" s="8" t="s">
        <v>23</v>
      </c>
      <c r="L11" s="5" t="s">
        <v>21</v>
      </c>
      <c r="M11" s="5" t="s">
        <v>35</v>
      </c>
      <c r="N11" s="5">
        <v>5.9</v>
      </c>
      <c r="O11" s="9">
        <f>YEAR(Table2[[#This Row],[Date of Joining]])</f>
        <v>2022</v>
      </c>
      <c r="P11" s="9" t="str">
        <f t="shared" ca="1" si="0"/>
        <v>3+ years</v>
      </c>
    </row>
    <row r="12" spans="1:17" x14ac:dyDescent="0.2">
      <c r="A12" s="3" t="s">
        <v>16</v>
      </c>
      <c r="B12" s="3"/>
      <c r="C12" s="4" t="s">
        <v>55</v>
      </c>
      <c r="D12" s="5" t="s">
        <v>56</v>
      </c>
      <c r="E12" s="6" t="d">
        <v>2022-09-01</v>
      </c>
      <c r="F12" s="6"/>
      <c r="G12" s="7" t="s">
        <v>57</v>
      </c>
      <c r="H12" s="4" t="s">
        <v>21</v>
      </c>
      <c r="I12" s="4" t="s">
        <v>22</v>
      </c>
      <c r="J12" s="8" t="d">
        <v>2021-10-18</v>
      </c>
      <c r="K12" s="8" t="s">
        <v>28</v>
      </c>
      <c r="L12" s="5" t="s">
        <v>21</v>
      </c>
      <c r="M12" s="5" t="s">
        <v>44</v>
      </c>
      <c r="N12" s="5">
        <v>10</v>
      </c>
      <c r="O12" s="9">
        <f>YEAR(Table2[[#This Row],[Date of Joining]])</f>
        <v>2022</v>
      </c>
      <c r="P12" s="9" t="str">
        <f t="shared" ca="1" si="0"/>
        <v>3+ years</v>
      </c>
    </row>
    <row r="13" spans="1:17" x14ac:dyDescent="0.2">
      <c r="A13" s="3" t="s">
        <v>25</v>
      </c>
      <c r="B13" s="3"/>
      <c r="C13" s="4" t="s">
        <v>58</v>
      </c>
      <c r="D13" s="5" t="s">
        <v>59</v>
      </c>
      <c r="E13" s="6" t="d">
        <v>2022-09-08</v>
      </c>
      <c r="F13" s="6" t="d">
        <v>2023-12-30</v>
      </c>
      <c r="G13" s="7" t="s">
        <v>57</v>
      </c>
      <c r="H13" s="4" t="s">
        <v>21</v>
      </c>
      <c r="I13" s="4" t="s">
        <v>39</v>
      </c>
      <c r="J13" s="8" t="d">
        <v>2021-04-26</v>
      </c>
      <c r="K13" s="8" t="s">
        <v>23</v>
      </c>
      <c r="L13" s="5" t="s">
        <v>21</v>
      </c>
      <c r="M13" s="5" t="s">
        <v>40</v>
      </c>
      <c r="N13" s="5">
        <v>1</v>
      </c>
      <c r="O13" s="9">
        <f>YEAR(Table2[[#This Row],[Date of Joining]])</f>
        <v>2022</v>
      </c>
      <c r="P13" s="9" t="str">
        <f t="shared" ca="1" si="0"/>
        <v>3+ years</v>
      </c>
    </row>
    <row r="14" spans="1:17" x14ac:dyDescent="0.2">
      <c r="A14" s="3" t="s">
        <v>16</v>
      </c>
      <c r="B14" s="3"/>
      <c r="C14" s="4" t="s">
        <v>60</v>
      </c>
      <c r="D14" s="5" t="s">
        <v>61</v>
      </c>
      <c r="E14" s="6" t="d">
        <v>2022-11-08</v>
      </c>
      <c r="F14" s="6"/>
      <c r="G14" s="7" t="s">
        <v>57</v>
      </c>
      <c r="H14" s="4" t="s">
        <v>21</v>
      </c>
      <c r="I14" s="4" t="s">
        <v>22</v>
      </c>
      <c r="J14" s="8" t="d">
        <v>2021-10-27</v>
      </c>
      <c r="K14" s="8" t="s">
        <v>28</v>
      </c>
      <c r="L14" s="5" t="s">
        <v>21</v>
      </c>
      <c r="M14" s="5" t="s">
        <v>62</v>
      </c>
      <c r="N14" s="5">
        <v>10</v>
      </c>
      <c r="O14" s="9">
        <f>YEAR(Table2[[#This Row],[Date of Joining]])</f>
        <v>2022</v>
      </c>
      <c r="P14" s="9" t="str">
        <f t="shared" ca="1" si="0"/>
        <v>3+ years</v>
      </c>
    </row>
    <row r="15" spans="1:17" x14ac:dyDescent="0.2">
      <c r="A15" s="3" t="s">
        <v>25</v>
      </c>
      <c r="B15" s="3"/>
      <c r="C15" s="4" t="s">
        <v>63</v>
      </c>
      <c r="D15" s="5" t="s">
        <v>64</v>
      </c>
      <c r="E15" s="6" t="d">
        <v>2023-01-21</v>
      </c>
      <c r="F15" s="6" t="d">
        <v>2023-11-21</v>
      </c>
      <c r="G15" s="7" t="s">
        <v>65</v>
      </c>
      <c r="H15" s="4" t="s">
        <v>21</v>
      </c>
      <c r="I15" s="4" t="s">
        <v>22</v>
      </c>
      <c r="J15" s="8" t="d">
        <v>2021-09-06</v>
      </c>
      <c r="K15" s="8" t="s">
        <v>23</v>
      </c>
      <c r="L15" s="5" t="s">
        <v>21</v>
      </c>
      <c r="M15" s="5" t="s">
        <v>40</v>
      </c>
      <c r="N15" s="5">
        <v>0</v>
      </c>
      <c r="O15" s="9">
        <f>YEAR(Table2[[#This Row],[Date of Joining]])</f>
        <v>2023</v>
      </c>
      <c r="P15" s="9" t="str">
        <f t="shared" ca="1" si="0"/>
        <v>3+ years</v>
      </c>
    </row>
    <row r="16" spans="1:17" x14ac:dyDescent="0.2">
      <c r="A16" s="3" t="s">
        <v>25</v>
      </c>
      <c r="B16" s="3"/>
      <c r="C16" s="4" t="s">
        <v>66</v>
      </c>
      <c r="D16" s="5" t="s">
        <v>67</v>
      </c>
      <c r="E16" s="6" t="d">
        <v>2023-06-06</v>
      </c>
      <c r="F16" s="6" t="d">
        <v>2024-05-03</v>
      </c>
      <c r="G16" s="7" t="s">
        <v>65</v>
      </c>
      <c r="H16" s="4" t="s">
        <v>21</v>
      </c>
      <c r="I16" s="4" t="s">
        <v>39</v>
      </c>
      <c r="J16" s="8" t="d">
        <v>2022-02-28</v>
      </c>
      <c r="K16" s="8" t="s">
        <v>23</v>
      </c>
      <c r="L16" s="5" t="s">
        <v>21</v>
      </c>
      <c r="M16" s="5" t="s">
        <v>49</v>
      </c>
      <c r="N16" s="5">
        <v>0.1</v>
      </c>
      <c r="O16" s="9">
        <f>YEAR(Table2[[#This Row],[Date of Joining]])</f>
        <v>2023</v>
      </c>
      <c r="P16" s="9" t="str">
        <f t="shared" ca="1" si="0"/>
        <v>3+ years</v>
      </c>
    </row>
    <row r="17" spans="1:16" x14ac:dyDescent="0.2">
      <c r="A17" s="3" t="s">
        <v>16</v>
      </c>
      <c r="B17" s="3"/>
      <c r="C17" s="4" t="s">
        <v>68</v>
      </c>
      <c r="D17" s="5" t="s">
        <v>69</v>
      </c>
      <c r="E17" s="6" t="d">
        <v>2023-10-19</v>
      </c>
      <c r="F17" s="6"/>
      <c r="G17" s="7" t="s">
        <v>65</v>
      </c>
      <c r="H17" s="4" t="s">
        <v>21</v>
      </c>
      <c r="I17" s="4" t="s">
        <v>39</v>
      </c>
      <c r="J17" s="8" t="d">
        <v>2022-09-26</v>
      </c>
      <c r="K17" s="8" t="s">
        <v>23</v>
      </c>
      <c r="L17" s="5" t="s">
        <v>21</v>
      </c>
      <c r="M17" s="5" t="s">
        <v>49</v>
      </c>
      <c r="N17" s="5">
        <v>0</v>
      </c>
      <c r="O17" s="9">
        <f>YEAR(Table2[[#This Row],[Date of Joining]])</f>
        <v>2023</v>
      </c>
      <c r="P17" s="9" t="str">
        <f t="shared" ca="1" si="0"/>
        <v>2+ years</v>
      </c>
    </row>
    <row r="18" spans="1:16" x14ac:dyDescent="0.2">
      <c r="A18" s="3" t="s">
        <v>16</v>
      </c>
      <c r="B18" s="3"/>
      <c r="C18" s="4" t="s">
        <v>70</v>
      </c>
      <c r="D18" s="5" t="s">
        <v>71</v>
      </c>
      <c r="E18" s="6" t="d">
        <v>2023-12-14</v>
      </c>
      <c r="F18" s="6"/>
      <c r="G18" s="7" t="s">
        <v>65</v>
      </c>
      <c r="H18" s="4" t="s">
        <v>21</v>
      </c>
      <c r="I18" s="4" t="s">
        <v>39</v>
      </c>
      <c r="J18" s="8" t="d">
        <v>2022-11-12</v>
      </c>
      <c r="K18" s="8" t="s">
        <v>23</v>
      </c>
      <c r="L18" s="5" t="s">
        <v>21</v>
      </c>
      <c r="M18" s="5" t="s">
        <v>35</v>
      </c>
      <c r="N18" s="5">
        <v>4</v>
      </c>
      <c r="O18" s="9">
        <f>YEAR(Table2[[#This Row],[Date of Joining]])</f>
        <v>2023</v>
      </c>
      <c r="P18" s="9" t="str">
        <f t="shared" ca="1" si="0"/>
        <v>2+ years</v>
      </c>
    </row>
    <row r="19" spans="1:16" x14ac:dyDescent="0.2">
      <c r="A19" s="3" t="s">
        <v>16</v>
      </c>
      <c r="B19" s="3"/>
      <c r="C19" s="4" t="s">
        <v>72</v>
      </c>
      <c r="D19" s="5" t="s">
        <v>73</v>
      </c>
      <c r="E19" s="6" t="d">
        <v>2024-02-06</v>
      </c>
      <c r="F19" s="6"/>
      <c r="G19" s="7" t="s">
        <v>20</v>
      </c>
      <c r="H19" s="4" t="s">
        <v>21</v>
      </c>
      <c r="I19" s="4" t="s">
        <v>22</v>
      </c>
      <c r="J19" s="8" t="d">
        <v>2021-12-28</v>
      </c>
      <c r="K19" s="8" t="s">
        <v>23</v>
      </c>
      <c r="L19" s="5" t="s">
        <v>21</v>
      </c>
      <c r="M19" s="5" t="s">
        <v>49</v>
      </c>
      <c r="N19" s="5">
        <v>0</v>
      </c>
      <c r="O19" s="9">
        <f>YEAR(Table2[[#This Row],[Date of Joining]])</f>
        <v>2024</v>
      </c>
      <c r="P19" s="9" t="str">
        <f t="shared" ca="1" si="0"/>
        <v>2+ years</v>
      </c>
    </row>
    <row r="20" spans="1:16" x14ac:dyDescent="0.2">
      <c r="A20" s="3" t="s">
        <v>16</v>
      </c>
      <c r="B20" s="3"/>
      <c r="C20" s="4" t="s">
        <v>74</v>
      </c>
      <c r="D20" s="5" t="s">
        <v>75</v>
      </c>
      <c r="E20" s="6" t="d">
        <v>2024-03-27</v>
      </c>
      <c r="F20" s="6"/>
      <c r="G20" s="7" t="s">
        <v>65</v>
      </c>
      <c r="H20" s="4" t="s">
        <v>21</v>
      </c>
      <c r="I20" s="4" t="s">
        <v>22</v>
      </c>
      <c r="J20" s="8" t="d">
        <v>2003-03-06</v>
      </c>
      <c r="K20" s="8" t="s">
        <v>28</v>
      </c>
      <c r="L20" s="5" t="s">
        <v>21</v>
      </c>
      <c r="M20" s="5" t="s">
        <v>40</v>
      </c>
      <c r="N20" s="5">
        <v>10</v>
      </c>
      <c r="O20" s="9">
        <f>YEAR(Table2[[#This Row],[Date of Joining]])</f>
        <v>2024</v>
      </c>
      <c r="P20" s="9" t="str">
        <f t="shared" ca="1" si="0"/>
        <v>2+ years</v>
      </c>
    </row>
    <row r="21" spans="1:16" x14ac:dyDescent="0.2">
      <c r="A21" s="3" t="s">
        <v>16</v>
      </c>
      <c r="B21" s="3"/>
      <c r="C21" s="4" t="s">
        <v>76</v>
      </c>
      <c r="D21" s="5" t="s">
        <v>77</v>
      </c>
      <c r="E21" s="6" t="d">
        <v>2024-06-01</v>
      </c>
      <c r="F21" s="6"/>
      <c r="G21" s="7" t="s">
        <v>65</v>
      </c>
      <c r="H21" s="4" t="s">
        <v>21</v>
      </c>
      <c r="I21" s="4" t="s">
        <v>39</v>
      </c>
      <c r="J21" s="8" t="d">
        <v>2022-12-03</v>
      </c>
      <c r="K21" s="8" t="s">
        <v>28</v>
      </c>
      <c r="L21" s="5" t="s">
        <v>21</v>
      </c>
      <c r="M21" s="5" t="s">
        <v>35</v>
      </c>
      <c r="N21" s="5">
        <v>4</v>
      </c>
      <c r="O21" s="9">
        <f>YEAR(Table2[[#This Row],[Date of Joining]])</f>
        <v>2024</v>
      </c>
      <c r="P21" s="9" t="str">
        <f t="shared" ca="1" si="0"/>
        <v>2+ years</v>
      </c>
    </row>
    <row r="22" spans="1:16" x14ac:dyDescent="0.2">
      <c r="A22" s="3" t="s">
        <v>16</v>
      </c>
      <c r="B22" s="3"/>
      <c r="C22" s="4" t="s">
        <v>78</v>
      </c>
      <c r="D22" s="5" t="s">
        <v>79</v>
      </c>
      <c r="E22" s="6" t="d">
        <v>2025-01-05</v>
      </c>
      <c r="F22" s="6"/>
      <c r="G22" s="5" t="s">
        <v>80</v>
      </c>
      <c r="H22" s="4" t="s">
        <v>21</v>
      </c>
      <c r="I22" s="4" t="s">
        <v>39</v>
      </c>
      <c r="J22" s="8" t="d">
        <v>2021-05-22</v>
      </c>
      <c r="K22" s="8" t="s">
        <v>28</v>
      </c>
      <c r="L22" s="5" t="s">
        <v>21</v>
      </c>
      <c r="M22" s="5" t="s">
        <v>44</v>
      </c>
      <c r="N22" s="5">
        <v>4.8</v>
      </c>
      <c r="O22" s="9">
        <f>YEAR(Table2[[#This Row],[Date of Joining]])</f>
        <v>2025</v>
      </c>
      <c r="P22" s="9" t="str">
        <f t="shared" ca="1" si="0"/>
        <v>1+ years</v>
      </c>
    </row>
    <row r="23" spans="1:16" x14ac:dyDescent="0.2">
      <c r="A23" s="3" t="s">
        <v>16</v>
      </c>
      <c r="B23" s="3"/>
      <c r="C23" s="4" t="s">
        <v>81</v>
      </c>
      <c r="D23" s="5" t="s">
        <v>82</v>
      </c>
      <c r="E23" s="6" t="d">
        <v>2025-01-14</v>
      </c>
      <c r="F23" s="6"/>
      <c r="G23" s="5" t="s">
        <v>80</v>
      </c>
      <c r="H23" s="4" t="s">
        <v>21</v>
      </c>
      <c r="I23" s="4" t="s">
        <v>22</v>
      </c>
      <c r="J23" s="8" t="d">
        <v>2021-02-09</v>
      </c>
      <c r="K23" s="8" t="s">
        <v>23</v>
      </c>
      <c r="L23" s="5" t="s">
        <v>21</v>
      </c>
      <c r="M23" s="5" t="s">
        <v>24</v>
      </c>
      <c r="N23" s="5">
        <v>9</v>
      </c>
      <c r="O23" s="9">
        <f>YEAR(Table2[[#This Row],[Date of Joining]])</f>
        <v>2025</v>
      </c>
      <c r="P23" s="9" t="str">
        <f t="shared" ca="1" si="0"/>
        <v>1+ years</v>
      </c>
    </row>
    <row r="24" spans="1:16" x14ac:dyDescent="0.2">
      <c r="A24" s="3" t="s">
        <v>16</v>
      </c>
      <c r="B24" s="3"/>
      <c r="C24" s="4" t="s">
        <v>83</v>
      </c>
      <c r="D24" s="5" t="s">
        <v>84</v>
      </c>
      <c r="E24" s="6" t="d">
        <v>2025-04-28</v>
      </c>
      <c r="F24" s="6"/>
      <c r="G24" s="7" t="s">
        <v>38</v>
      </c>
      <c r="H24" s="4" t="s">
        <v>21</v>
      </c>
      <c r="I24" s="4" t="s">
        <v>22</v>
      </c>
      <c r="J24" s="8" t="d">
        <v>2021-12-06</v>
      </c>
      <c r="K24" s="8" t="s">
        <v>28</v>
      </c>
      <c r="L24" s="5" t="s">
        <v>21</v>
      </c>
      <c r="M24" s="5" t="s">
        <v>40</v>
      </c>
      <c r="N24" s="5">
        <v>8</v>
      </c>
      <c r="O24" s="9">
        <f>YEAR(Table2[[#This Row],[Date of Joining]])</f>
        <v>2025</v>
      </c>
      <c r="P24" s="9" t="str">
        <f t="shared" ca="1" si="0"/>
        <v>1+ years</v>
      </c>
    </row>
    <row r="25" spans="1:16" x14ac:dyDescent="0.2">
      <c r="A25" s="3" t="s">
        <v>16</v>
      </c>
      <c r="B25" s="3" t="s">
        <v>17</v>
      </c>
      <c r="C25" s="4">
        <v>107224</v>
      </c>
      <c r="D25" s="5" t="s">
        <v>85</v>
      </c>
      <c r="E25" s="6" t="d">
        <v>2020-02-06</v>
      </c>
      <c r="F25" s="6"/>
      <c r="G25" s="7" t="s">
        <v>20</v>
      </c>
      <c r="H25" s="4" t="s">
        <v>86</v>
      </c>
      <c r="I25" s="4" t="s">
        <v>22</v>
      </c>
      <c r="J25" s="8" t="d">
        <v>2021-08-25</v>
      </c>
      <c r="K25" s="8" t="s">
        <v>23</v>
      </c>
      <c r="L25" s="5" t="s">
        <v>29</v>
      </c>
      <c r="M25" s="5" t="s">
        <v>24</v>
      </c>
      <c r="N25" s="5">
        <v>13</v>
      </c>
      <c r="O25" s="9">
        <f>YEAR(Table2[[#This Row],[Date of Joining]])</f>
        <v>2020</v>
      </c>
      <c r="P25" s="9" t="str">
        <f t="shared" ca="1" si="0"/>
        <v>5+ years</v>
      </c>
    </row>
    <row r="26" spans="1:16" x14ac:dyDescent="0.2">
      <c r="A26" s="3" t="s">
        <v>25</v>
      </c>
      <c r="B26" s="3" t="s">
        <v>17</v>
      </c>
      <c r="C26" s="4">
        <v>148467</v>
      </c>
      <c r="D26" s="5" t="s">
        <v>87</v>
      </c>
      <c r="E26" s="6" t="d">
        <v>2020-02-08</v>
      </c>
      <c r="F26" s="6" t="d">
        <v>2024-06-30</v>
      </c>
      <c r="G26" s="5" t="s">
        <v>80</v>
      </c>
      <c r="H26" s="4" t="s">
        <v>86</v>
      </c>
      <c r="I26" s="4" t="s">
        <v>39</v>
      </c>
      <c r="J26" s="8" t="d">
        <v>2021-10-25</v>
      </c>
      <c r="K26" s="8" t="s">
        <v>23</v>
      </c>
      <c r="L26" s="5" t="s">
        <v>29</v>
      </c>
      <c r="M26" s="5" t="s">
        <v>30</v>
      </c>
      <c r="N26" s="5">
        <v>5</v>
      </c>
      <c r="O26" s="9">
        <f>YEAR(Table2[[#This Row],[Date of Joining]])</f>
        <v>2020</v>
      </c>
      <c r="P26" s="9" t="str">
        <f t="shared" ca="1" si="0"/>
        <v>5+ years</v>
      </c>
    </row>
    <row r="27" spans="1:16" x14ac:dyDescent="0.2">
      <c r="A27" s="3" t="s">
        <v>25</v>
      </c>
      <c r="B27" s="3"/>
      <c r="C27" s="4">
        <v>114416</v>
      </c>
      <c r="D27" s="5" t="s">
        <v>88</v>
      </c>
      <c r="E27" s="6" t="d">
        <v>2020-02-13</v>
      </c>
      <c r="F27" s="6" t="d">
        <v>2024-01-09</v>
      </c>
      <c r="G27" s="7" t="s">
        <v>65</v>
      </c>
      <c r="H27" s="4" t="s">
        <v>86</v>
      </c>
      <c r="I27" s="4" t="s">
        <v>22</v>
      </c>
      <c r="J27" s="8" t="d">
        <v>2021-11-24</v>
      </c>
      <c r="K27" s="8" t="s">
        <v>28</v>
      </c>
      <c r="L27" s="5" t="s">
        <v>89</v>
      </c>
      <c r="M27" s="5" t="s">
        <v>44</v>
      </c>
      <c r="N27" s="5">
        <v>8</v>
      </c>
      <c r="O27" s="9">
        <f>YEAR(Table2[[#This Row],[Date of Joining]])</f>
        <v>2020</v>
      </c>
      <c r="P27" s="9" t="str">
        <f t="shared" ca="1" si="0"/>
        <v>5+ years</v>
      </c>
    </row>
    <row r="28" spans="1:16" x14ac:dyDescent="0.2">
      <c r="A28" s="3" t="s">
        <v>16</v>
      </c>
      <c r="B28" s="3"/>
      <c r="C28" s="4">
        <v>189095</v>
      </c>
      <c r="D28" s="5" t="s">
        <v>90</v>
      </c>
      <c r="E28" s="6" t="d">
        <v>2020-02-26</v>
      </c>
      <c r="F28" s="6"/>
      <c r="G28" s="7" t="s">
        <v>65</v>
      </c>
      <c r="H28" s="4" t="s">
        <v>86</v>
      </c>
      <c r="I28" s="4" t="s">
        <v>22</v>
      </c>
      <c r="J28" s="8" t="d">
        <v>2021-11-04</v>
      </c>
      <c r="K28" s="8" t="s">
        <v>23</v>
      </c>
      <c r="L28" s="5" t="s">
        <v>89</v>
      </c>
      <c r="M28" s="5" t="s">
        <v>24</v>
      </c>
      <c r="N28" s="5">
        <v>17</v>
      </c>
      <c r="O28" s="9">
        <f>YEAR(Table2[[#This Row],[Date of Joining]])</f>
        <v>2020</v>
      </c>
      <c r="P28" s="9" t="str">
        <f t="shared" ca="1" si="0"/>
        <v>5+ years</v>
      </c>
    </row>
    <row r="29" spans="1:16" x14ac:dyDescent="0.2">
      <c r="A29" s="3" t="s">
        <v>25</v>
      </c>
      <c r="B29" s="3"/>
      <c r="C29" s="4">
        <v>123874</v>
      </c>
      <c r="D29" s="5" t="s">
        <v>91</v>
      </c>
      <c r="E29" s="6" t="d">
        <v>2020-03-11</v>
      </c>
      <c r="F29" s="6" t="d">
        <v>2021-12-30</v>
      </c>
      <c r="G29" s="7" t="s">
        <v>65</v>
      </c>
      <c r="H29" s="4" t="s">
        <v>86</v>
      </c>
      <c r="I29" s="4" t="s">
        <v>22</v>
      </c>
      <c r="J29" s="8" t="d">
        <v>2021-12-28</v>
      </c>
      <c r="K29" s="8" t="s">
        <v>28</v>
      </c>
      <c r="L29" s="5" t="s">
        <v>29</v>
      </c>
      <c r="M29" s="5" t="s">
        <v>30</v>
      </c>
      <c r="N29" s="5">
        <v>14</v>
      </c>
      <c r="O29" s="9">
        <f>YEAR(Table2[[#This Row],[Date of Joining]])</f>
        <v>2020</v>
      </c>
      <c r="P29" s="9" t="str">
        <f t="shared" ca="1" si="0"/>
        <v>5+ years</v>
      </c>
    </row>
    <row r="30" spans="1:16" x14ac:dyDescent="0.2">
      <c r="A30" s="3" t="s">
        <v>16</v>
      </c>
      <c r="B30" s="3" t="s">
        <v>17</v>
      </c>
      <c r="C30" s="4">
        <v>147637</v>
      </c>
      <c r="D30" s="5" t="s">
        <v>57</v>
      </c>
      <c r="E30" s="6" t="d">
        <v>2020-03-26</v>
      </c>
      <c r="F30" s="6"/>
      <c r="G30" s="7" t="s">
        <v>20</v>
      </c>
      <c r="H30" s="4" t="s">
        <v>86</v>
      </c>
      <c r="I30" s="4" t="s">
        <v>22</v>
      </c>
      <c r="J30" s="8" t="d">
        <v>2021-04-28</v>
      </c>
      <c r="K30" s="8" t="s">
        <v>23</v>
      </c>
      <c r="L30" s="5" t="s">
        <v>29</v>
      </c>
      <c r="M30" s="5" t="s">
        <v>44</v>
      </c>
      <c r="N30" s="5">
        <v>14</v>
      </c>
      <c r="O30" s="9">
        <f>YEAR(Table2[[#This Row],[Date of Joining]])</f>
        <v>2020</v>
      </c>
      <c r="P30" s="9" t="str">
        <f t="shared" ca="1" si="0"/>
        <v>5+ years</v>
      </c>
    </row>
    <row r="31" spans="1:16" x14ac:dyDescent="0.2">
      <c r="A31" s="3" t="s">
        <v>16</v>
      </c>
      <c r="B31" s="3" t="s">
        <v>17</v>
      </c>
      <c r="C31" s="4">
        <v>183900</v>
      </c>
      <c r="D31" s="5" t="s">
        <v>92</v>
      </c>
      <c r="E31" s="6" t="d">
        <v>2020-04-29</v>
      </c>
      <c r="F31" s="6"/>
      <c r="G31" s="7" t="s">
        <v>65</v>
      </c>
      <c r="H31" s="4" t="s">
        <v>86</v>
      </c>
      <c r="I31" s="4" t="s">
        <v>22</v>
      </c>
      <c r="J31" s="8" t="d">
        <v>2021-04-23</v>
      </c>
      <c r="K31" s="8" t="s">
        <v>23</v>
      </c>
      <c r="L31" s="5" t="s">
        <v>89</v>
      </c>
      <c r="M31" s="5" t="s">
        <v>30</v>
      </c>
      <c r="N31" s="5">
        <v>13</v>
      </c>
      <c r="O31" s="9">
        <f>YEAR(Table2[[#This Row],[Date of Joining]])</f>
        <v>2020</v>
      </c>
      <c r="P31" s="9" t="str">
        <f t="shared" ca="1" si="0"/>
        <v>5+ years</v>
      </c>
    </row>
    <row r="32" spans="1:16" x14ac:dyDescent="0.2">
      <c r="A32" s="3" t="s">
        <v>16</v>
      </c>
      <c r="B32" s="3"/>
      <c r="C32" s="4">
        <v>110700</v>
      </c>
      <c r="D32" s="5" t="s">
        <v>93</v>
      </c>
      <c r="E32" s="6" t="d">
        <v>2020-05-20</v>
      </c>
      <c r="F32" s="6"/>
      <c r="G32" s="7" t="s">
        <v>65</v>
      </c>
      <c r="H32" s="4" t="s">
        <v>86</v>
      </c>
      <c r="I32" s="4" t="s">
        <v>22</v>
      </c>
      <c r="J32" s="8" t="d">
        <v>2021-04-21</v>
      </c>
      <c r="K32" s="8" t="s">
        <v>23</v>
      </c>
      <c r="L32" s="5" t="s">
        <v>89</v>
      </c>
      <c r="M32" s="5" t="s">
        <v>44</v>
      </c>
      <c r="N32" s="5">
        <v>13</v>
      </c>
      <c r="O32" s="9">
        <f>YEAR(Table2[[#This Row],[Date of Joining]])</f>
        <v>2020</v>
      </c>
      <c r="P32" s="9" t="str">
        <f t="shared" ca="1" si="0"/>
        <v>5+ years</v>
      </c>
    </row>
    <row r="33" spans="1:16" x14ac:dyDescent="0.2">
      <c r="A33" s="3" t="s">
        <v>16</v>
      </c>
      <c r="B33" s="3" t="s">
        <v>17</v>
      </c>
      <c r="C33" s="4">
        <v>188035</v>
      </c>
      <c r="D33" s="5" t="s">
        <v>94</v>
      </c>
      <c r="E33" s="6" t="d">
        <v>2020-06-12</v>
      </c>
      <c r="F33" s="6"/>
      <c r="G33" s="7" t="s">
        <v>57</v>
      </c>
      <c r="H33" s="4" t="s">
        <v>86</v>
      </c>
      <c r="I33" s="4" t="s">
        <v>22</v>
      </c>
      <c r="J33" s="8" t="d">
        <v>2022-08-08</v>
      </c>
      <c r="K33" s="8" t="s">
        <v>23</v>
      </c>
      <c r="L33" s="5" t="s">
        <v>29</v>
      </c>
      <c r="M33" s="5" t="s">
        <v>24</v>
      </c>
      <c r="N33" s="5">
        <v>7</v>
      </c>
      <c r="O33" s="9">
        <f>YEAR(Table2[[#This Row],[Date of Joining]])</f>
        <v>2020</v>
      </c>
      <c r="P33" s="9" t="str">
        <f t="shared" ca="1" si="0"/>
        <v>5+ years</v>
      </c>
    </row>
    <row r="34" spans="1:16" x14ac:dyDescent="0.2">
      <c r="A34" s="3" t="s">
        <v>16</v>
      </c>
      <c r="B34" s="3"/>
      <c r="C34" s="4">
        <v>131049</v>
      </c>
      <c r="D34" s="5" t="s">
        <v>95</v>
      </c>
      <c r="E34" s="6" t="d">
        <v>2020-06-18</v>
      </c>
      <c r="F34" s="6"/>
      <c r="G34" s="7" t="s">
        <v>65</v>
      </c>
      <c r="H34" s="4" t="s">
        <v>86</v>
      </c>
      <c r="I34" s="4" t="s">
        <v>22</v>
      </c>
      <c r="J34" s="8" t="d">
        <v>2021-12-31</v>
      </c>
      <c r="K34" s="8" t="s">
        <v>23</v>
      </c>
      <c r="L34" s="5" t="s">
        <v>89</v>
      </c>
      <c r="M34" s="5" t="s">
        <v>24</v>
      </c>
      <c r="N34" s="5">
        <v>13</v>
      </c>
      <c r="O34" s="9">
        <f>YEAR(Table2[[#This Row],[Date of Joining]])</f>
        <v>2020</v>
      </c>
      <c r="P34" s="9" t="str">
        <f t="shared" ca="1" si="0"/>
        <v>5+ years</v>
      </c>
    </row>
    <row r="35" spans="1:16" x14ac:dyDescent="0.2">
      <c r="A35" s="3" t="s">
        <v>25</v>
      </c>
      <c r="B35" s="3"/>
      <c r="C35" s="4">
        <v>180582</v>
      </c>
      <c r="D35" s="5" t="s">
        <v>96</v>
      </c>
      <c r="E35" s="6" t="d">
        <v>2020-06-26</v>
      </c>
      <c r="F35" s="6" t="d">
        <v>2021-06-30</v>
      </c>
      <c r="G35" s="7" t="s">
        <v>57</v>
      </c>
      <c r="H35" s="4" t="s">
        <v>86</v>
      </c>
      <c r="I35" s="4" t="s">
        <v>39</v>
      </c>
      <c r="J35" s="8" t="d">
        <v>2021-05-27</v>
      </c>
      <c r="K35" s="8" t="s">
        <v>23</v>
      </c>
      <c r="L35" s="5" t="s">
        <v>97</v>
      </c>
      <c r="M35" s="5" t="s">
        <v>30</v>
      </c>
      <c r="N35" s="5">
        <v>0</v>
      </c>
      <c r="O35" s="9">
        <f>YEAR(Table2[[#This Row],[Date of Joining]])</f>
        <v>2020</v>
      </c>
      <c r="P35" s="9" t="str">
        <f t="shared" ca="1" si="0"/>
        <v>5+ years</v>
      </c>
    </row>
    <row r="36" spans="1:16" x14ac:dyDescent="0.2">
      <c r="A36" s="3" t="s">
        <v>16</v>
      </c>
      <c r="B36" s="3"/>
      <c r="C36" s="4">
        <v>126718</v>
      </c>
      <c r="D36" s="5" t="s">
        <v>98</v>
      </c>
      <c r="E36" s="6" t="d">
        <v>2020-07-08</v>
      </c>
      <c r="F36" s="6"/>
      <c r="G36" s="7" t="s">
        <v>65</v>
      </c>
      <c r="H36" s="4" t="s">
        <v>86</v>
      </c>
      <c r="I36" s="4" t="s">
        <v>22</v>
      </c>
      <c r="J36" s="8" t="d">
        <v>2021-10-03</v>
      </c>
      <c r="K36" s="8" t="s">
        <v>23</v>
      </c>
      <c r="L36" s="5" t="s">
        <v>29</v>
      </c>
      <c r="M36" s="5" t="s">
        <v>30</v>
      </c>
      <c r="N36" s="5">
        <v>6.5</v>
      </c>
      <c r="O36" s="9">
        <f>YEAR(Table2[[#This Row],[Date of Joining]])</f>
        <v>2020</v>
      </c>
      <c r="P36" s="9" t="str">
        <f t="shared" ca="1" si="0"/>
        <v>5+ years</v>
      </c>
    </row>
    <row r="37" spans="1:16" x14ac:dyDescent="0.2">
      <c r="A37" s="3" t="s">
        <v>16</v>
      </c>
      <c r="B37" s="3"/>
      <c r="C37" s="4">
        <v>192425</v>
      </c>
      <c r="D37" s="5" t="s">
        <v>99</v>
      </c>
      <c r="E37" s="6" t="d">
        <v>2020-07-24</v>
      </c>
      <c r="F37" s="6"/>
      <c r="G37" s="7" t="s">
        <v>20</v>
      </c>
      <c r="H37" s="4" t="s">
        <v>86</v>
      </c>
      <c r="I37" s="4" t="s">
        <v>22</v>
      </c>
      <c r="J37" s="8" t="d">
        <v>2021-05-22</v>
      </c>
      <c r="K37" s="8" t="s">
        <v>23</v>
      </c>
      <c r="L37" s="5" t="s">
        <v>29</v>
      </c>
      <c r="M37" s="5" t="s">
        <v>44</v>
      </c>
      <c r="N37" s="5">
        <v>8</v>
      </c>
      <c r="O37" s="9">
        <f>YEAR(Table2[[#This Row],[Date of Joining]])</f>
        <v>2020</v>
      </c>
      <c r="P37" s="9" t="str">
        <f t="shared" ca="1" si="0"/>
        <v>5+ years</v>
      </c>
    </row>
    <row r="38" spans="1:16" x14ac:dyDescent="0.2">
      <c r="A38" s="3" t="s">
        <v>16</v>
      </c>
      <c r="B38" s="3"/>
      <c r="C38" s="4">
        <v>174008</v>
      </c>
      <c r="D38" s="5" t="s">
        <v>100</v>
      </c>
      <c r="E38" s="6" t="d">
        <v>2020-07-31</v>
      </c>
      <c r="F38" s="6"/>
      <c r="G38" s="7" t="s">
        <v>57</v>
      </c>
      <c r="H38" s="4" t="s">
        <v>86</v>
      </c>
      <c r="I38" s="4" t="s">
        <v>39</v>
      </c>
      <c r="J38" s="8" t="d">
        <v>2021-12-10</v>
      </c>
      <c r="K38" s="8" t="s">
        <v>23</v>
      </c>
      <c r="L38" s="5" t="s">
        <v>29</v>
      </c>
      <c r="M38" s="5" t="s">
        <v>30</v>
      </c>
      <c r="N38" s="5">
        <v>12</v>
      </c>
      <c r="O38" s="9">
        <f>YEAR(Table2[[#This Row],[Date of Joining]])</f>
        <v>2020</v>
      </c>
      <c r="P38" s="9" t="str">
        <f t="shared" ca="1" si="0"/>
        <v>5+ years</v>
      </c>
    </row>
    <row r="39" spans="1:16" x14ac:dyDescent="0.2">
      <c r="A39" s="3" t="s">
        <v>25</v>
      </c>
      <c r="B39" s="3"/>
      <c r="C39" s="4">
        <v>129735</v>
      </c>
      <c r="D39" s="5" t="s">
        <v>38</v>
      </c>
      <c r="E39" s="6" t="d">
        <v>2020-08-14</v>
      </c>
      <c r="F39" s="6" t="d">
        <v>2022-06-29</v>
      </c>
      <c r="G39" s="7" t="s">
        <v>65</v>
      </c>
      <c r="H39" s="4" t="s">
        <v>86</v>
      </c>
      <c r="I39" s="4" t="s">
        <v>22</v>
      </c>
      <c r="J39" s="8" t="d">
        <v>2021-01-15</v>
      </c>
      <c r="K39" s="8" t="s">
        <v>23</v>
      </c>
      <c r="L39" s="5" t="s">
        <v>29</v>
      </c>
      <c r="M39" s="5" t="s">
        <v>24</v>
      </c>
      <c r="N39" s="5">
        <v>5</v>
      </c>
      <c r="O39" s="9">
        <f>YEAR(Table2[[#This Row],[Date of Joining]])</f>
        <v>2020</v>
      </c>
      <c r="P39" s="9" t="str">
        <f t="shared" ca="1" si="0"/>
        <v>5+ years</v>
      </c>
    </row>
    <row r="40" spans="1:16" x14ac:dyDescent="0.2">
      <c r="A40" s="3" t="s">
        <v>25</v>
      </c>
      <c r="B40" s="3"/>
      <c r="C40" s="4">
        <v>117328</v>
      </c>
      <c r="D40" s="5" t="s">
        <v>101</v>
      </c>
      <c r="E40" s="6" t="d">
        <v>2020-08-26</v>
      </c>
      <c r="F40" s="6" t="d">
        <v>2022-04-30</v>
      </c>
      <c r="G40" s="7" t="s">
        <v>65</v>
      </c>
      <c r="H40" s="4" t="s">
        <v>86</v>
      </c>
      <c r="I40" s="4" t="s">
        <v>22</v>
      </c>
      <c r="J40" s="8" t="d">
        <v>2021-02-09</v>
      </c>
      <c r="K40" s="8" t="s">
        <v>28</v>
      </c>
      <c r="L40" s="5" t="s">
        <v>29</v>
      </c>
      <c r="M40" s="5" t="s">
        <v>24</v>
      </c>
      <c r="N40" s="5">
        <v>4.8</v>
      </c>
      <c r="O40" s="9">
        <f>YEAR(Table2[[#This Row],[Date of Joining]])</f>
        <v>2020</v>
      </c>
      <c r="P40" s="9" t="str">
        <f t="shared" ca="1" si="0"/>
        <v>5+ years</v>
      </c>
    </row>
    <row r="41" spans="1:16" x14ac:dyDescent="0.2">
      <c r="A41" s="3" t="s">
        <v>16</v>
      </c>
      <c r="B41" s="3"/>
      <c r="C41" s="4">
        <v>110646</v>
      </c>
      <c r="D41" s="5" t="s">
        <v>102</v>
      </c>
      <c r="E41" s="6" t="d">
        <v>2020-09-01</v>
      </c>
      <c r="F41" s="6"/>
      <c r="G41" s="5" t="s">
        <v>52</v>
      </c>
      <c r="H41" s="4" t="s">
        <v>86</v>
      </c>
      <c r="I41" s="4" t="s">
        <v>22</v>
      </c>
      <c r="J41" s="8" t="d">
        <v>2021-01-20</v>
      </c>
      <c r="K41" s="8" t="s">
        <v>28</v>
      </c>
      <c r="L41" s="5" t="s">
        <v>29</v>
      </c>
      <c r="M41" s="5" t="s">
        <v>44</v>
      </c>
      <c r="N41" s="5">
        <v>9</v>
      </c>
      <c r="O41" s="9">
        <f>YEAR(Table2[[#This Row],[Date of Joining]])</f>
        <v>2020</v>
      </c>
      <c r="P41" s="9" t="str">
        <f t="shared" ca="1" si="0"/>
        <v>5+ years</v>
      </c>
    </row>
    <row r="42" spans="1:16" x14ac:dyDescent="0.2">
      <c r="A42" s="3" t="s">
        <v>16</v>
      </c>
      <c r="B42" s="3"/>
      <c r="C42" s="4">
        <v>114446</v>
      </c>
      <c r="D42" s="5" t="s">
        <v>103</v>
      </c>
      <c r="E42" s="6" t="d">
        <v>2020-09-01</v>
      </c>
      <c r="F42" s="6"/>
      <c r="G42" s="5" t="s">
        <v>80</v>
      </c>
      <c r="H42" s="4" t="s">
        <v>86</v>
      </c>
      <c r="I42" s="4" t="s">
        <v>22</v>
      </c>
      <c r="J42" s="8" t="d">
        <v>2021-11-24</v>
      </c>
      <c r="K42" s="8" t="s">
        <v>28</v>
      </c>
      <c r="L42" s="5" t="s">
        <v>89</v>
      </c>
      <c r="M42" s="5" t="s">
        <v>44</v>
      </c>
      <c r="N42" s="5">
        <v>8</v>
      </c>
      <c r="O42" s="9">
        <f>YEAR(Table2[[#This Row],[Date of Joining]])</f>
        <v>2020</v>
      </c>
      <c r="P42" s="9" t="str">
        <f t="shared" ca="1" si="0"/>
        <v>5+ years</v>
      </c>
    </row>
    <row r="43" spans="1:16" x14ac:dyDescent="0.2">
      <c r="A43" s="3" t="s">
        <v>16</v>
      </c>
      <c r="B43" s="3"/>
      <c r="C43" s="4">
        <v>189125</v>
      </c>
      <c r="D43" s="5" t="s">
        <v>104</v>
      </c>
      <c r="E43" s="6" t="d">
        <v>2020-09-01</v>
      </c>
      <c r="F43" s="6"/>
      <c r="G43" s="7" t="s">
        <v>38</v>
      </c>
      <c r="H43" s="4" t="s">
        <v>86</v>
      </c>
      <c r="I43" s="4" t="s">
        <v>22</v>
      </c>
      <c r="J43" s="8" t="d">
        <v>2021-11-04</v>
      </c>
      <c r="K43" s="8" t="s">
        <v>28</v>
      </c>
      <c r="L43" s="5" t="s">
        <v>89</v>
      </c>
      <c r="M43" s="5" t="s">
        <v>24</v>
      </c>
      <c r="N43" s="5">
        <v>17</v>
      </c>
      <c r="O43" s="9">
        <f>YEAR(Table2[[#This Row],[Date of Joining]])</f>
        <v>2020</v>
      </c>
      <c r="P43" s="9" t="str">
        <f t="shared" ca="1" si="0"/>
        <v>5+ years</v>
      </c>
    </row>
    <row r="44" spans="1:16" x14ac:dyDescent="0.2">
      <c r="A44" s="3" t="s">
        <v>16</v>
      </c>
      <c r="B44" s="3" t="s">
        <v>17</v>
      </c>
      <c r="C44" s="4">
        <v>183930</v>
      </c>
      <c r="D44" s="5" t="s">
        <v>105</v>
      </c>
      <c r="E44" s="6" t="d">
        <v>2020-09-01</v>
      </c>
      <c r="F44" s="6"/>
      <c r="G44" s="7" t="s">
        <v>38</v>
      </c>
      <c r="H44" s="4" t="s">
        <v>86</v>
      </c>
      <c r="I44" s="4" t="s">
        <v>22</v>
      </c>
      <c r="J44" s="8" t="d">
        <v>2021-04-23</v>
      </c>
      <c r="K44" s="8" t="s">
        <v>28</v>
      </c>
      <c r="L44" s="5" t="s">
        <v>89</v>
      </c>
      <c r="M44" s="5" t="s">
        <v>30</v>
      </c>
      <c r="N44" s="5">
        <v>13</v>
      </c>
      <c r="O44" s="9">
        <f>YEAR(Table2[[#This Row],[Date of Joining]])</f>
        <v>2020</v>
      </c>
      <c r="P44" s="9" t="str">
        <f t="shared" ca="1" si="0"/>
        <v>5+ years</v>
      </c>
    </row>
    <row r="45" spans="1:16" x14ac:dyDescent="0.2">
      <c r="A45" s="3" t="s">
        <v>16</v>
      </c>
      <c r="B45" s="3"/>
      <c r="C45" s="4">
        <v>110730</v>
      </c>
      <c r="D45" s="5" t="s">
        <v>43</v>
      </c>
      <c r="E45" s="6" t="d">
        <v>2020-09-01</v>
      </c>
      <c r="F45" s="6"/>
      <c r="G45" s="5" t="s">
        <v>43</v>
      </c>
      <c r="H45" s="4" t="s">
        <v>86</v>
      </c>
      <c r="I45" s="4" t="s">
        <v>22</v>
      </c>
      <c r="J45" s="8" t="d">
        <v>2021-04-21</v>
      </c>
      <c r="K45" s="8" t="s">
        <v>23</v>
      </c>
      <c r="L45" s="5" t="s">
        <v>89</v>
      </c>
      <c r="M45" s="5" t="s">
        <v>44</v>
      </c>
      <c r="N45" s="5">
        <v>13</v>
      </c>
      <c r="O45" s="9">
        <f>YEAR(Table2[[#This Row],[Date of Joining]])</f>
        <v>2020</v>
      </c>
      <c r="P45" s="9" t="str">
        <f t="shared" ca="1" si="0"/>
        <v>5+ years</v>
      </c>
    </row>
    <row r="46" spans="1:16" x14ac:dyDescent="0.2">
      <c r="A46" s="3" t="s">
        <v>16</v>
      </c>
      <c r="B46" s="3"/>
      <c r="C46" s="4">
        <v>131079</v>
      </c>
      <c r="D46" s="5" t="s">
        <v>106</v>
      </c>
      <c r="E46" s="6" t="d">
        <v>2020-09-01</v>
      </c>
      <c r="F46" s="6"/>
      <c r="G46" s="7" t="s">
        <v>20</v>
      </c>
      <c r="H46" s="4" t="s">
        <v>86</v>
      </c>
      <c r="I46" s="4" t="s">
        <v>22</v>
      </c>
      <c r="J46" s="8" t="d">
        <v>2021-12-31</v>
      </c>
      <c r="K46" s="8" t="s">
        <v>23</v>
      </c>
      <c r="L46" s="5" t="s">
        <v>89</v>
      </c>
      <c r="M46" s="5" t="s">
        <v>24</v>
      </c>
      <c r="N46" s="5">
        <v>13</v>
      </c>
      <c r="O46" s="9">
        <f>YEAR(Table2[[#This Row],[Date of Joining]])</f>
        <v>2020</v>
      </c>
      <c r="P46" s="9" t="str">
        <f t="shared" ca="1" si="0"/>
        <v>5+ years</v>
      </c>
    </row>
    <row r="47" spans="1:16" x14ac:dyDescent="0.2">
      <c r="A47" s="3" t="s">
        <v>16</v>
      </c>
      <c r="B47" s="3"/>
      <c r="C47" s="4">
        <v>180612</v>
      </c>
      <c r="D47" s="5" t="s">
        <v>107</v>
      </c>
      <c r="E47" s="6" t="d">
        <v>2020-09-01</v>
      </c>
      <c r="F47" s="6"/>
      <c r="G47" s="7" t="s">
        <v>57</v>
      </c>
      <c r="H47" s="4" t="s">
        <v>86</v>
      </c>
      <c r="I47" s="4" t="s">
        <v>39</v>
      </c>
      <c r="J47" s="8" t="d">
        <v>2021-05-27</v>
      </c>
      <c r="K47" s="8" t="s">
        <v>23</v>
      </c>
      <c r="L47" s="5" t="s">
        <v>97</v>
      </c>
      <c r="M47" s="5" t="s">
        <v>30</v>
      </c>
      <c r="N47" s="5">
        <v>0</v>
      </c>
      <c r="O47" s="9">
        <f>YEAR(Table2[[#This Row],[Date of Joining]])</f>
        <v>2020</v>
      </c>
      <c r="P47" s="9" t="str">
        <f t="shared" ca="1" si="0"/>
        <v>5+ years</v>
      </c>
    </row>
    <row r="48" spans="1:16" x14ac:dyDescent="0.2">
      <c r="A48" s="3" t="s">
        <v>25</v>
      </c>
      <c r="B48" s="3"/>
      <c r="C48" s="4">
        <v>154702</v>
      </c>
      <c r="D48" s="5" t="s">
        <v>108</v>
      </c>
      <c r="E48" s="6" t="d">
        <v>2020-09-09</v>
      </c>
      <c r="F48" s="6" t="d">
        <v>2024-01-20</v>
      </c>
      <c r="G48" s="7" t="s">
        <v>65</v>
      </c>
      <c r="H48" s="4" t="s">
        <v>86</v>
      </c>
      <c r="I48" s="4" t="s">
        <v>39</v>
      </c>
      <c r="J48" s="8" t="d">
        <v>2021-11-07</v>
      </c>
      <c r="K48" s="8" t="s">
        <v>28</v>
      </c>
      <c r="L48" s="5" t="s">
        <v>97</v>
      </c>
      <c r="M48" s="5" t="s">
        <v>24</v>
      </c>
      <c r="N48" s="5">
        <v>0</v>
      </c>
      <c r="O48" s="9">
        <f>YEAR(Table2[[#This Row],[Date of Joining]])</f>
        <v>2020</v>
      </c>
      <c r="P48" s="9" t="str">
        <f t="shared" ca="1" si="0"/>
        <v>5+ years</v>
      </c>
    </row>
    <row r="49" spans="1:16" x14ac:dyDescent="0.2">
      <c r="A49" s="3" t="s">
        <v>16</v>
      </c>
      <c r="B49" s="3"/>
      <c r="C49" s="4">
        <v>101286</v>
      </c>
      <c r="D49" s="5" t="s">
        <v>109</v>
      </c>
      <c r="E49" s="6" t="d">
        <v>2020-09-09</v>
      </c>
      <c r="F49" s="6"/>
      <c r="G49" s="7" t="s">
        <v>65</v>
      </c>
      <c r="H49" s="4" t="s">
        <v>86</v>
      </c>
      <c r="I49" s="4" t="s">
        <v>22</v>
      </c>
      <c r="J49" s="8" t="d">
        <v>2021-03-14</v>
      </c>
      <c r="K49" s="8" t="s">
        <v>23</v>
      </c>
      <c r="L49" s="5" t="s">
        <v>89</v>
      </c>
      <c r="M49" s="5" t="s">
        <v>35</v>
      </c>
      <c r="N49" s="5">
        <v>14</v>
      </c>
      <c r="O49" s="9">
        <f>YEAR(Table2[[#This Row],[Date of Joining]])</f>
        <v>2020</v>
      </c>
      <c r="P49" s="9" t="str">
        <f t="shared" ca="1" si="0"/>
        <v>5+ years</v>
      </c>
    </row>
    <row r="50" spans="1:16" x14ac:dyDescent="0.2">
      <c r="A50" s="3" t="s">
        <v>25</v>
      </c>
      <c r="B50" s="3"/>
      <c r="C50" s="4">
        <v>137383</v>
      </c>
      <c r="D50" s="5" t="s">
        <v>20</v>
      </c>
      <c r="E50" s="6" t="d">
        <v>2020-09-16</v>
      </c>
      <c r="F50" s="6" t="d">
        <v>2021-03-03</v>
      </c>
      <c r="G50" s="5" t="s">
        <v>52</v>
      </c>
      <c r="H50" s="4" t="s">
        <v>86</v>
      </c>
      <c r="I50" s="4" t="s">
        <v>22</v>
      </c>
      <c r="J50" s="8" t="d">
        <v>2021-01-24</v>
      </c>
      <c r="K50" s="8" t="s">
        <v>23</v>
      </c>
      <c r="L50" s="5" t="s">
        <v>89</v>
      </c>
      <c r="M50" s="5" t="s">
        <v>24</v>
      </c>
      <c r="N50" s="5">
        <v>9</v>
      </c>
      <c r="O50" s="9">
        <f>YEAR(Table2[[#This Row],[Date of Joining]])</f>
        <v>2020</v>
      </c>
      <c r="P50" s="9" t="str">
        <f t="shared" ca="1" si="0"/>
        <v>5+ years</v>
      </c>
    </row>
    <row r="51" spans="1:16" x14ac:dyDescent="0.2">
      <c r="A51" s="3" t="s">
        <v>25</v>
      </c>
      <c r="B51" s="3"/>
      <c r="C51" s="4">
        <v>185704</v>
      </c>
      <c r="D51" s="5" t="s">
        <v>65</v>
      </c>
      <c r="E51" s="6" t="d">
        <v>2020-09-16</v>
      </c>
      <c r="F51" s="6" t="d">
        <v>2021-07-18</v>
      </c>
      <c r="G51" s="7" t="s">
        <v>57</v>
      </c>
      <c r="H51" s="4" t="s">
        <v>86</v>
      </c>
      <c r="I51" s="4" t="s">
        <v>22</v>
      </c>
      <c r="J51" s="8" t="d">
        <v>2021-12-06</v>
      </c>
      <c r="K51" s="8" t="s">
        <v>23</v>
      </c>
      <c r="L51" s="5" t="s">
        <v>97</v>
      </c>
      <c r="M51" s="5" t="s">
        <v>49</v>
      </c>
      <c r="N51" s="5">
        <v>0</v>
      </c>
      <c r="O51" s="9">
        <f>YEAR(Table2[[#This Row],[Date of Joining]])</f>
        <v>2020</v>
      </c>
      <c r="P51" s="9" t="str">
        <f t="shared" ca="1" si="0"/>
        <v>5+ years</v>
      </c>
    </row>
    <row r="52" spans="1:16" x14ac:dyDescent="0.2">
      <c r="A52" s="3" t="s">
        <v>25</v>
      </c>
      <c r="B52" s="3"/>
      <c r="C52" s="4">
        <v>151727</v>
      </c>
      <c r="D52" s="5" t="s">
        <v>110</v>
      </c>
      <c r="E52" s="6" t="d">
        <v>2020-09-16</v>
      </c>
      <c r="F52" s="6" t="d">
        <v>2023-06-29</v>
      </c>
      <c r="G52" s="7" t="s">
        <v>57</v>
      </c>
      <c r="H52" s="4" t="s">
        <v>86</v>
      </c>
      <c r="I52" s="4" t="s">
        <v>22</v>
      </c>
      <c r="J52" s="8" t="d">
        <v>2021-02-03</v>
      </c>
      <c r="K52" s="8" t="s">
        <v>23</v>
      </c>
      <c r="L52" s="5" t="s">
        <v>97</v>
      </c>
      <c r="M52" s="5" t="s">
        <v>49</v>
      </c>
      <c r="N52" s="5">
        <v>0</v>
      </c>
      <c r="O52" s="9">
        <f>YEAR(Table2[[#This Row],[Date of Joining]])</f>
        <v>2020</v>
      </c>
      <c r="P52" s="9" t="str">
        <f t="shared" ca="1" si="0"/>
        <v>5+ years</v>
      </c>
    </row>
    <row r="53" spans="1:16" x14ac:dyDescent="0.2">
      <c r="A53" s="3" t="s">
        <v>25</v>
      </c>
      <c r="B53" s="3"/>
      <c r="C53" s="4">
        <v>135167</v>
      </c>
      <c r="D53" s="5" t="s">
        <v>111</v>
      </c>
      <c r="E53" s="6" t="d">
        <v>2020-09-16</v>
      </c>
      <c r="F53" s="6" t="d">
        <v>2023-09-26</v>
      </c>
      <c r="G53" s="7" t="s">
        <v>57</v>
      </c>
      <c r="H53" s="4" t="s">
        <v>86</v>
      </c>
      <c r="I53" s="4" t="s">
        <v>22</v>
      </c>
      <c r="J53" s="8" t="d">
        <v>2021-03-28</v>
      </c>
      <c r="K53" s="8" t="s">
        <v>23</v>
      </c>
      <c r="L53" s="5" t="s">
        <v>97</v>
      </c>
      <c r="M53" s="5" t="s">
        <v>49</v>
      </c>
      <c r="N53" s="5">
        <v>0</v>
      </c>
      <c r="O53" s="9">
        <f>YEAR(Table2[[#This Row],[Date of Joining]])</f>
        <v>2020</v>
      </c>
      <c r="P53" s="9" t="str">
        <f t="shared" ca="1" si="0"/>
        <v>5+ years</v>
      </c>
    </row>
    <row r="54" spans="1:16" x14ac:dyDescent="0.2">
      <c r="A54" s="3" t="s">
        <v>25</v>
      </c>
      <c r="B54" s="3"/>
      <c r="C54" s="4">
        <v>100971</v>
      </c>
      <c r="D54" s="5" t="s">
        <v>112</v>
      </c>
      <c r="E54" s="6" t="d">
        <v>2020-09-16</v>
      </c>
      <c r="F54" s="6" t="d">
        <v>2023-12-23</v>
      </c>
      <c r="G54" s="7" t="s">
        <v>57</v>
      </c>
      <c r="H54" s="4" t="s">
        <v>86</v>
      </c>
      <c r="I54" s="4" t="s">
        <v>22</v>
      </c>
      <c r="J54" s="8" t="d">
        <v>2021-09-08</v>
      </c>
      <c r="K54" s="8" t="s">
        <v>23</v>
      </c>
      <c r="L54" s="5" t="s">
        <v>97</v>
      </c>
      <c r="M54" s="5" t="s">
        <v>49</v>
      </c>
      <c r="N54" s="5">
        <v>0</v>
      </c>
      <c r="O54" s="9">
        <f>YEAR(Table2[[#This Row],[Date of Joining]])</f>
        <v>2020</v>
      </c>
      <c r="P54" s="9" t="str">
        <f t="shared" ca="1" si="0"/>
        <v>5+ years</v>
      </c>
    </row>
    <row r="55" spans="1:16" x14ac:dyDescent="0.2">
      <c r="A55" s="3" t="s">
        <v>25</v>
      </c>
      <c r="B55" s="3"/>
      <c r="C55" s="4">
        <v>145787</v>
      </c>
      <c r="D55" s="5" t="s">
        <v>113</v>
      </c>
      <c r="E55" s="6" t="d">
        <v>2020-09-16</v>
      </c>
      <c r="F55" s="6" t="d">
        <v>2024-01-27</v>
      </c>
      <c r="G55" s="7" t="s">
        <v>57</v>
      </c>
      <c r="H55" s="4" t="s">
        <v>86</v>
      </c>
      <c r="I55" s="4" t="s">
        <v>39</v>
      </c>
      <c r="J55" s="8" t="d">
        <v>2021-10-14</v>
      </c>
      <c r="K55" s="8" t="s">
        <v>28</v>
      </c>
      <c r="L55" s="5" t="s">
        <v>97</v>
      </c>
      <c r="M55" s="5" t="s">
        <v>49</v>
      </c>
      <c r="N55" s="5">
        <v>0</v>
      </c>
      <c r="O55" s="9">
        <f>YEAR(Table2[[#This Row],[Date of Joining]])</f>
        <v>2020</v>
      </c>
      <c r="P55" s="9" t="str">
        <f t="shared" ca="1" si="0"/>
        <v>5+ years</v>
      </c>
    </row>
    <row r="56" spans="1:16" x14ac:dyDescent="0.2">
      <c r="A56" s="3" t="s">
        <v>25</v>
      </c>
      <c r="B56" s="3"/>
      <c r="C56" s="4">
        <v>170924</v>
      </c>
      <c r="D56" s="5" t="s">
        <v>114</v>
      </c>
      <c r="E56" s="6" t="d">
        <v>2020-09-16</v>
      </c>
      <c r="F56" s="6" t="d">
        <v>2024-03-17</v>
      </c>
      <c r="G56" s="5" t="s">
        <v>80</v>
      </c>
      <c r="H56" s="4" t="s">
        <v>86</v>
      </c>
      <c r="I56" s="4" t="s">
        <v>22</v>
      </c>
      <c r="J56" s="8" t="d">
        <v>2021-10-01</v>
      </c>
      <c r="K56" s="8" t="s">
        <v>23</v>
      </c>
      <c r="L56" s="5" t="s">
        <v>97</v>
      </c>
      <c r="M56" s="5" t="s">
        <v>49</v>
      </c>
      <c r="N56" s="5">
        <v>0</v>
      </c>
      <c r="O56" s="9">
        <f>YEAR(Table2[[#This Row],[Date of Joining]])</f>
        <v>2020</v>
      </c>
      <c r="P56" s="9" t="str">
        <f t="shared" ca="1" si="0"/>
        <v>5+ years</v>
      </c>
    </row>
    <row r="57" spans="1:16" x14ac:dyDescent="0.2">
      <c r="A57" s="3" t="s">
        <v>25</v>
      </c>
      <c r="B57" s="3"/>
      <c r="C57" s="4">
        <v>129573</v>
      </c>
      <c r="D57" s="5" t="s">
        <v>115</v>
      </c>
      <c r="E57" s="6" t="d">
        <v>2020-09-16</v>
      </c>
      <c r="F57" s="6" t="d">
        <v>2024-09-29</v>
      </c>
      <c r="G57" s="7" t="s">
        <v>38</v>
      </c>
      <c r="H57" s="4" t="s">
        <v>86</v>
      </c>
      <c r="I57" s="4" t="s">
        <v>39</v>
      </c>
      <c r="J57" s="8" t="d">
        <v>2021-09-16</v>
      </c>
      <c r="K57" s="8" t="s">
        <v>23</v>
      </c>
      <c r="L57" s="5" t="s">
        <v>29</v>
      </c>
      <c r="M57" s="5" t="s">
        <v>49</v>
      </c>
      <c r="N57" s="5">
        <v>0</v>
      </c>
      <c r="O57" s="9">
        <f>YEAR(Table2[[#This Row],[Date of Joining]])</f>
        <v>2020</v>
      </c>
      <c r="P57" s="9" t="str">
        <f t="shared" ca="1" si="0"/>
        <v>5+ years</v>
      </c>
    </row>
    <row r="58" spans="1:16" x14ac:dyDescent="0.2">
      <c r="A58" s="3" t="s">
        <v>16</v>
      </c>
      <c r="B58" s="3"/>
      <c r="C58" s="4">
        <v>115742</v>
      </c>
      <c r="D58" s="5" t="s">
        <v>116</v>
      </c>
      <c r="E58" s="6" t="d">
        <v>2020-09-16</v>
      </c>
      <c r="F58" s="6"/>
      <c r="G58" s="7" t="s">
        <v>38</v>
      </c>
      <c r="H58" s="4" t="s">
        <v>86</v>
      </c>
      <c r="I58" s="4" t="s">
        <v>39</v>
      </c>
      <c r="J58" s="8" t="d">
        <v>2021-09-23</v>
      </c>
      <c r="K58" s="8" t="s">
        <v>23</v>
      </c>
      <c r="L58" s="5" t="s">
        <v>29</v>
      </c>
      <c r="M58" s="5" t="s">
        <v>49</v>
      </c>
      <c r="N58" s="5">
        <v>0</v>
      </c>
      <c r="O58" s="9">
        <f>YEAR(Table2[[#This Row],[Date of Joining]])</f>
        <v>2020</v>
      </c>
      <c r="P58" s="9" t="str">
        <f t="shared" ca="1" si="0"/>
        <v>5+ years</v>
      </c>
    </row>
    <row r="59" spans="1:16" x14ac:dyDescent="0.2">
      <c r="A59" s="3" t="s">
        <v>16</v>
      </c>
      <c r="B59" s="3"/>
      <c r="C59" s="4">
        <v>126064</v>
      </c>
      <c r="D59" s="5" t="s">
        <v>117</v>
      </c>
      <c r="E59" s="6" t="d">
        <v>2020-09-16</v>
      </c>
      <c r="F59" s="6"/>
      <c r="G59" s="7" t="s">
        <v>38</v>
      </c>
      <c r="H59" s="4" t="s">
        <v>86</v>
      </c>
      <c r="I59" s="4" t="s">
        <v>39</v>
      </c>
      <c r="J59" s="8" t="d">
        <v>2021-05-30</v>
      </c>
      <c r="K59" s="8" t="s">
        <v>23</v>
      </c>
      <c r="L59" s="5" t="s">
        <v>29</v>
      </c>
      <c r="M59" s="5" t="s">
        <v>49</v>
      </c>
      <c r="N59" s="5">
        <v>0</v>
      </c>
      <c r="O59" s="9">
        <f>YEAR(Table2[[#This Row],[Date of Joining]])</f>
        <v>2020</v>
      </c>
      <c r="P59" s="9" t="str">
        <f t="shared" ca="1" si="0"/>
        <v>5+ years</v>
      </c>
    </row>
    <row r="60" spans="1:16" x14ac:dyDescent="0.2">
      <c r="A60" s="3" t="s">
        <v>16</v>
      </c>
      <c r="B60" s="3"/>
      <c r="C60" s="4">
        <v>173140</v>
      </c>
      <c r="D60" s="5" t="s">
        <v>118</v>
      </c>
      <c r="E60" s="6" t="d">
        <v>2020-09-16</v>
      </c>
      <c r="F60" s="6"/>
      <c r="G60" s="5" t="s">
        <v>80</v>
      </c>
      <c r="H60" s="4" t="s">
        <v>86</v>
      </c>
      <c r="I60" s="4" t="s">
        <v>22</v>
      </c>
      <c r="J60" s="8" t="d">
        <v>2021-07-13</v>
      </c>
      <c r="K60" s="8" t="s">
        <v>23</v>
      </c>
      <c r="L60" s="5" t="s">
        <v>29</v>
      </c>
      <c r="M60" s="5" t="s">
        <v>49</v>
      </c>
      <c r="N60" s="5">
        <v>0</v>
      </c>
      <c r="O60" s="9">
        <f>YEAR(Table2[[#This Row],[Date of Joining]])</f>
        <v>2020</v>
      </c>
      <c r="P60" s="9" t="str">
        <f t="shared" ca="1" si="0"/>
        <v>5+ years</v>
      </c>
    </row>
    <row r="61" spans="1:16" x14ac:dyDescent="0.2">
      <c r="A61" s="3" t="s">
        <v>25</v>
      </c>
      <c r="B61" s="3"/>
      <c r="C61" s="4">
        <v>181592</v>
      </c>
      <c r="D61" s="5" t="s">
        <v>119</v>
      </c>
      <c r="E61" s="6" t="d">
        <v>2020-10-16</v>
      </c>
      <c r="F61" s="6" t="d">
        <v>2024-02-03</v>
      </c>
      <c r="G61" s="5" t="s">
        <v>80</v>
      </c>
      <c r="H61" s="4" t="s">
        <v>86</v>
      </c>
      <c r="I61" s="4" t="s">
        <v>22</v>
      </c>
      <c r="J61" s="8" t="d">
        <v>2021-01-24</v>
      </c>
      <c r="K61" s="8" t="s">
        <v>28</v>
      </c>
      <c r="L61" s="5" t="s">
        <v>89</v>
      </c>
      <c r="M61" s="5" t="s">
        <v>49</v>
      </c>
      <c r="N61" s="5">
        <v>12</v>
      </c>
      <c r="O61" s="9">
        <f>YEAR(Table2[[#This Row],[Date of Joining]])</f>
        <v>2020</v>
      </c>
      <c r="P61" s="9" t="str">
        <f t="shared" ca="1" si="0"/>
        <v>5+ years</v>
      </c>
    </row>
    <row r="62" spans="1:16" x14ac:dyDescent="0.2">
      <c r="A62" s="3" t="s">
        <v>25</v>
      </c>
      <c r="B62" s="3"/>
      <c r="C62" s="4">
        <v>144158</v>
      </c>
      <c r="D62" s="5" t="s">
        <v>120</v>
      </c>
      <c r="E62" s="6" t="d">
        <v>2020-11-28</v>
      </c>
      <c r="F62" s="6" t="d">
        <v>2023-03-31</v>
      </c>
      <c r="G62" s="7" t="s">
        <v>20</v>
      </c>
      <c r="H62" s="4" t="s">
        <v>86</v>
      </c>
      <c r="I62" s="4" t="s">
        <v>22</v>
      </c>
      <c r="J62" s="8" t="d">
        <v>2021-04-10</v>
      </c>
      <c r="K62" s="8" t="s">
        <v>28</v>
      </c>
      <c r="L62" s="5" t="s">
        <v>29</v>
      </c>
      <c r="M62" s="5" t="s">
        <v>30</v>
      </c>
      <c r="N62" s="5">
        <v>6</v>
      </c>
      <c r="O62" s="9">
        <f>YEAR(Table2[[#This Row],[Date of Joining]])</f>
        <v>2020</v>
      </c>
      <c r="P62" s="9" t="str">
        <f t="shared" ca="1" si="0"/>
        <v>5+ years</v>
      </c>
    </row>
    <row r="63" spans="1:16" x14ac:dyDescent="0.2">
      <c r="A63" s="3" t="s">
        <v>16</v>
      </c>
      <c r="B63" s="3"/>
      <c r="C63" s="4">
        <v>178955</v>
      </c>
      <c r="D63" s="5" t="s">
        <v>121</v>
      </c>
      <c r="E63" s="6" t="d">
        <v>2020-12-02</v>
      </c>
      <c r="F63" s="6"/>
      <c r="G63" s="5" t="s">
        <v>80</v>
      </c>
      <c r="H63" s="4" t="s">
        <v>86</v>
      </c>
      <c r="I63" s="4" t="s">
        <v>22</v>
      </c>
      <c r="J63" s="8" t="d">
        <v>2021-03-18</v>
      </c>
      <c r="K63" s="8" t="s">
        <v>23</v>
      </c>
      <c r="L63" s="5" t="s">
        <v>29</v>
      </c>
      <c r="M63" s="5" t="s">
        <v>30</v>
      </c>
      <c r="N63" s="5">
        <v>8</v>
      </c>
      <c r="O63" s="9">
        <f>YEAR(Table2[[#This Row],[Date of Joining]])</f>
        <v>2020</v>
      </c>
      <c r="P63" s="9" t="str">
        <f t="shared" ca="1" si="0"/>
        <v>5+ years</v>
      </c>
    </row>
    <row r="64" spans="1:16" x14ac:dyDescent="0.2">
      <c r="A64" s="3" t="s">
        <v>25</v>
      </c>
      <c r="B64" s="3"/>
      <c r="C64" s="4">
        <v>110616</v>
      </c>
      <c r="D64" s="5" t="s">
        <v>122</v>
      </c>
      <c r="E64" s="6" t="d">
        <v>2020-12-21</v>
      </c>
      <c r="F64" s="6" t="d">
        <v>2022-03-31</v>
      </c>
      <c r="G64" s="7" t="s">
        <v>20</v>
      </c>
      <c r="H64" s="4" t="s">
        <v>86</v>
      </c>
      <c r="I64" s="4" t="s">
        <v>22</v>
      </c>
      <c r="J64" s="8" t="d">
        <v>2021-01-20</v>
      </c>
      <c r="K64" s="8" t="s">
        <v>28</v>
      </c>
      <c r="L64" s="5" t="s">
        <v>29</v>
      </c>
      <c r="M64" s="5" t="s">
        <v>44</v>
      </c>
      <c r="N64" s="5">
        <v>9</v>
      </c>
      <c r="O64" s="9">
        <f>YEAR(Table2[[#This Row],[Date of Joining]])</f>
        <v>2020</v>
      </c>
      <c r="P64" s="9" t="str">
        <f t="shared" ca="1" si="0"/>
        <v>5+ years</v>
      </c>
    </row>
    <row r="65" spans="1:16" x14ac:dyDescent="0.2">
      <c r="A65" s="3" t="s">
        <v>25</v>
      </c>
      <c r="B65" s="3"/>
      <c r="C65" s="4">
        <v>120981</v>
      </c>
      <c r="D65" s="5" t="s">
        <v>123</v>
      </c>
      <c r="E65" s="6" t="d">
        <v>2020-12-26</v>
      </c>
      <c r="F65" s="6" t="d">
        <v>2023-07-01</v>
      </c>
      <c r="G65" s="7" t="s">
        <v>20</v>
      </c>
      <c r="H65" s="4" t="s">
        <v>86</v>
      </c>
      <c r="I65" s="4" t="s">
        <v>39</v>
      </c>
      <c r="J65" s="8" t="d">
        <v>2021-07-22</v>
      </c>
      <c r="K65" s="8" t="s">
        <v>23</v>
      </c>
      <c r="L65" s="5" t="s">
        <v>97</v>
      </c>
      <c r="M65" s="5" t="s">
        <v>24</v>
      </c>
      <c r="N65" s="5">
        <v>0</v>
      </c>
      <c r="O65" s="9">
        <f>YEAR(Table2[[#This Row],[Date of Joining]])</f>
        <v>2020</v>
      </c>
      <c r="P65" s="9" t="str">
        <f t="shared" ca="1" si="0"/>
        <v>5+ years</v>
      </c>
    </row>
    <row r="66" spans="1:16" x14ac:dyDescent="0.2">
      <c r="A66" s="3" t="s">
        <v>25</v>
      </c>
      <c r="B66" s="3"/>
      <c r="C66" s="4">
        <v>140182</v>
      </c>
      <c r="D66" s="5" t="s">
        <v>124</v>
      </c>
      <c r="E66" s="6" t="d">
        <v>2021-01-22</v>
      </c>
      <c r="F66" s="6" t="d">
        <v>2022-03-15</v>
      </c>
      <c r="G66" s="7" t="s">
        <v>57</v>
      </c>
      <c r="H66" s="4" t="s">
        <v>86</v>
      </c>
      <c r="I66" s="4" t="s">
        <v>39</v>
      </c>
      <c r="J66" s="8" t="d">
        <v>2021-02-08</v>
      </c>
      <c r="K66" s="8" t="s">
        <v>23</v>
      </c>
      <c r="L66" s="5" t="s">
        <v>97</v>
      </c>
      <c r="M66" s="5" t="s">
        <v>24</v>
      </c>
      <c r="N66" s="5">
        <v>0</v>
      </c>
      <c r="O66" s="9">
        <f>YEAR(Table2[[#This Row],[Date of Joining]])</f>
        <v>2021</v>
      </c>
      <c r="P66" s="9" t="str">
        <f t="shared" ref="P66:P129" ca="1" si="1">IF(DATEDIF(E66,TODAY(),"Y")&gt;=5,"5+ years",
IF(DATEDIF(E66,TODAY(),"Y")&gt;=4,"4+ years",
IF(DATEDIF(E66,TODAY(),"Y")&gt;=3,"3+ years",
IF(DATEDIF(E66,TODAY(),"Y")&gt;=2,"2+ years",
IF(DATEDIF(E66,TODAY(),"Y")&gt;=1,"1+ years","&lt;1 year")))))</f>
        <v>5+ years</v>
      </c>
    </row>
    <row r="67" spans="1:16" x14ac:dyDescent="0.2">
      <c r="A67" s="3" t="s">
        <v>25</v>
      </c>
      <c r="B67" s="3"/>
      <c r="C67" s="4">
        <v>174057</v>
      </c>
      <c r="D67" s="5" t="s">
        <v>125</v>
      </c>
      <c r="E67" s="6" t="d">
        <v>2021-01-22</v>
      </c>
      <c r="F67" s="6" t="d">
        <v>2023-02-08</v>
      </c>
      <c r="G67" s="7" t="s">
        <v>57</v>
      </c>
      <c r="H67" s="4" t="s">
        <v>86</v>
      </c>
      <c r="I67" s="4" t="s">
        <v>22</v>
      </c>
      <c r="J67" s="8" t="d">
        <v>2021-11-11</v>
      </c>
      <c r="K67" s="8" t="s">
        <v>28</v>
      </c>
      <c r="L67" s="5" t="s">
        <v>29</v>
      </c>
      <c r="M67" s="5" t="s">
        <v>24</v>
      </c>
      <c r="N67" s="5">
        <v>6</v>
      </c>
      <c r="O67" s="9">
        <f>YEAR(Table2[[#This Row],[Date of Joining]])</f>
        <v>2021</v>
      </c>
      <c r="P67" s="9" t="str">
        <f t="shared" ca="1" si="1"/>
        <v>5+ years</v>
      </c>
    </row>
    <row r="68" spans="1:16" x14ac:dyDescent="0.2">
      <c r="A68" s="3" t="s">
        <v>25</v>
      </c>
      <c r="B68" s="3"/>
      <c r="C68" s="4">
        <v>124194</v>
      </c>
      <c r="D68" s="5" t="s">
        <v>126</v>
      </c>
      <c r="E68" s="6" t="d">
        <v>2021-01-29</v>
      </c>
      <c r="F68" s="6" t="d">
        <v>2022-03-10</v>
      </c>
      <c r="G68" s="7" t="s">
        <v>38</v>
      </c>
      <c r="H68" s="4" t="s">
        <v>86</v>
      </c>
      <c r="I68" s="4" t="s">
        <v>22</v>
      </c>
      <c r="J68" s="8" t="d">
        <v>2021-01-25</v>
      </c>
      <c r="K68" s="8" t="s">
        <v>28</v>
      </c>
      <c r="L68" s="5" t="s">
        <v>89</v>
      </c>
      <c r="M68" s="5" t="s">
        <v>30</v>
      </c>
      <c r="N68" s="5">
        <v>13</v>
      </c>
      <c r="O68" s="9">
        <f>YEAR(Table2[[#This Row],[Date of Joining]])</f>
        <v>2021</v>
      </c>
      <c r="P68" s="9" t="str">
        <f t="shared" ca="1" si="1"/>
        <v>5+ years</v>
      </c>
    </row>
    <row r="69" spans="1:16" x14ac:dyDescent="0.2">
      <c r="A69" s="3" t="s">
        <v>25</v>
      </c>
      <c r="B69" s="3"/>
      <c r="C69" s="4">
        <v>185420</v>
      </c>
      <c r="D69" s="5" t="s">
        <v>127</v>
      </c>
      <c r="E69" s="6" t="d">
        <v>2021-02-19</v>
      </c>
      <c r="F69" s="6" t="d">
        <v>2023-09-30</v>
      </c>
      <c r="G69" s="5" t="s">
        <v>43</v>
      </c>
      <c r="H69" s="4" t="s">
        <v>86</v>
      </c>
      <c r="I69" s="4" t="s">
        <v>22</v>
      </c>
      <c r="J69" s="8" t="d">
        <v>2021-06-24</v>
      </c>
      <c r="K69" s="8" t="s">
        <v>28</v>
      </c>
      <c r="L69" s="5" t="s">
        <v>29</v>
      </c>
      <c r="M69" s="5" t="s">
        <v>35</v>
      </c>
      <c r="N69" s="5">
        <v>5</v>
      </c>
      <c r="O69" s="9">
        <f>YEAR(Table2[[#This Row],[Date of Joining]])</f>
        <v>2021</v>
      </c>
      <c r="P69" s="9" t="str">
        <f t="shared" ca="1" si="1"/>
        <v>5+ years</v>
      </c>
    </row>
    <row r="70" spans="1:16" x14ac:dyDescent="0.2">
      <c r="A70" s="3" t="s">
        <v>25</v>
      </c>
      <c r="B70" s="3"/>
      <c r="C70" s="4">
        <v>184945</v>
      </c>
      <c r="D70" s="5" t="s">
        <v>128</v>
      </c>
      <c r="E70" s="6" t="d">
        <v>2021-02-24</v>
      </c>
      <c r="F70" s="6" t="d">
        <v>2022-07-06</v>
      </c>
      <c r="G70" s="7" t="s">
        <v>38</v>
      </c>
      <c r="H70" s="4" t="s">
        <v>86</v>
      </c>
      <c r="I70" s="4" t="s">
        <v>22</v>
      </c>
      <c r="J70" s="8" t="d">
        <v>2021-09-27</v>
      </c>
      <c r="K70" s="8" t="s">
        <v>28</v>
      </c>
      <c r="L70" s="5" t="s">
        <v>29</v>
      </c>
      <c r="M70" s="5" t="s">
        <v>30</v>
      </c>
      <c r="N70" s="5">
        <v>10</v>
      </c>
      <c r="O70" s="9">
        <f>YEAR(Table2[[#This Row],[Date of Joining]])</f>
        <v>2021</v>
      </c>
      <c r="P70" s="9" t="str">
        <f t="shared" ca="1" si="1"/>
        <v>5+ years</v>
      </c>
    </row>
    <row r="71" spans="1:16" x14ac:dyDescent="0.2">
      <c r="A71" s="3" t="s">
        <v>16</v>
      </c>
      <c r="B71" s="3"/>
      <c r="C71" s="4">
        <v>129852</v>
      </c>
      <c r="D71" s="5" t="s">
        <v>129</v>
      </c>
      <c r="E71" s="6" t="d">
        <v>2021-03-02</v>
      </c>
      <c r="F71" s="6"/>
      <c r="G71" s="7" t="s">
        <v>57</v>
      </c>
      <c r="H71" s="4" t="s">
        <v>86</v>
      </c>
      <c r="I71" s="4" t="s">
        <v>22</v>
      </c>
      <c r="J71" s="8" t="d">
        <v>2021-01-04</v>
      </c>
      <c r="K71" s="8" t="s">
        <v>23</v>
      </c>
      <c r="L71" s="5" t="s">
        <v>89</v>
      </c>
      <c r="M71" s="5" t="s">
        <v>24</v>
      </c>
      <c r="N71" s="5">
        <v>10</v>
      </c>
      <c r="O71" s="9">
        <f>YEAR(Table2[[#This Row],[Date of Joining]])</f>
        <v>2021</v>
      </c>
      <c r="P71" s="9" t="str">
        <f t="shared" ca="1" si="1"/>
        <v>5+ years</v>
      </c>
    </row>
    <row r="72" spans="1:16" x14ac:dyDescent="0.2">
      <c r="A72" s="3" t="s">
        <v>25</v>
      </c>
      <c r="B72" s="3"/>
      <c r="C72" s="4">
        <v>139272</v>
      </c>
      <c r="D72" s="5" t="s">
        <v>130</v>
      </c>
      <c r="E72" s="6" t="d">
        <v>2021-03-09</v>
      </c>
      <c r="F72" s="6" t="d">
        <v>2023-06-30</v>
      </c>
      <c r="G72" s="7" t="s">
        <v>20</v>
      </c>
      <c r="H72" s="4" t="s">
        <v>86</v>
      </c>
      <c r="I72" s="4" t="s">
        <v>39</v>
      </c>
      <c r="J72" s="8" t="d">
        <v>2021-06-16</v>
      </c>
      <c r="K72" s="8" t="s">
        <v>28</v>
      </c>
      <c r="L72" s="5" t="s">
        <v>29</v>
      </c>
      <c r="M72" s="5" t="s">
        <v>24</v>
      </c>
      <c r="N72" s="5">
        <v>8</v>
      </c>
      <c r="O72" s="9">
        <f>YEAR(Table2[[#This Row],[Date of Joining]])</f>
        <v>2021</v>
      </c>
      <c r="P72" s="9" t="str">
        <f t="shared" ca="1" si="1"/>
        <v>5+ years</v>
      </c>
    </row>
    <row r="73" spans="1:16" x14ac:dyDescent="0.2">
      <c r="A73" s="3" t="s">
        <v>16</v>
      </c>
      <c r="B73" s="3"/>
      <c r="C73" s="4">
        <v>194976</v>
      </c>
      <c r="D73" s="5" t="s">
        <v>131</v>
      </c>
      <c r="E73" s="6" t="d">
        <v>2021-03-16</v>
      </c>
      <c r="F73" s="6"/>
      <c r="G73" s="7" t="s">
        <v>57</v>
      </c>
      <c r="H73" s="4" t="s">
        <v>86</v>
      </c>
      <c r="I73" s="4" t="s">
        <v>39</v>
      </c>
      <c r="J73" s="8" t="d">
        <v>2021-01-04</v>
      </c>
      <c r="K73" s="8" t="s">
        <v>23</v>
      </c>
      <c r="L73" s="5" t="s">
        <v>29</v>
      </c>
      <c r="M73" s="5" t="s">
        <v>24</v>
      </c>
      <c r="N73" s="5">
        <v>3.5</v>
      </c>
      <c r="O73" s="9">
        <f>YEAR(Table2[[#This Row],[Date of Joining]])</f>
        <v>2021</v>
      </c>
      <c r="P73" s="9" t="str">
        <f t="shared" ca="1" si="1"/>
        <v>5+ years</v>
      </c>
    </row>
    <row r="74" spans="1:16" x14ac:dyDescent="0.2">
      <c r="A74" s="3" t="s">
        <v>16</v>
      </c>
      <c r="B74" s="3"/>
      <c r="C74" s="4">
        <v>132557</v>
      </c>
      <c r="D74" s="5" t="s">
        <v>132</v>
      </c>
      <c r="E74" s="6" t="d">
        <v>2021-05-27</v>
      </c>
      <c r="F74" s="6"/>
      <c r="G74" s="7" t="s">
        <v>38</v>
      </c>
      <c r="H74" s="4" t="s">
        <v>86</v>
      </c>
      <c r="I74" s="4" t="s">
        <v>39</v>
      </c>
      <c r="J74" s="8" t="d">
        <v>2021-08-21</v>
      </c>
      <c r="K74" s="8" t="s">
        <v>23</v>
      </c>
      <c r="L74" s="5" t="s">
        <v>29</v>
      </c>
      <c r="M74" s="5" t="s">
        <v>35</v>
      </c>
      <c r="N74" s="5">
        <v>7</v>
      </c>
      <c r="O74" s="9">
        <f>YEAR(Table2[[#This Row],[Date of Joining]])</f>
        <v>2021</v>
      </c>
      <c r="P74" s="9" t="str">
        <f t="shared" ca="1" si="1"/>
        <v>5+ years</v>
      </c>
    </row>
    <row r="75" spans="1:16" x14ac:dyDescent="0.2">
      <c r="A75" s="3" t="s">
        <v>25</v>
      </c>
      <c r="B75" s="3" t="s">
        <v>133</v>
      </c>
      <c r="C75" s="4">
        <v>187280</v>
      </c>
      <c r="D75" s="5" t="s">
        <v>134</v>
      </c>
      <c r="E75" s="6" t="d">
        <v>2021-08-10</v>
      </c>
      <c r="F75" s="6" t="d">
        <v>2022-02-19</v>
      </c>
      <c r="G75" s="7" t="s">
        <v>57</v>
      </c>
      <c r="H75" s="4" t="s">
        <v>86</v>
      </c>
      <c r="I75" s="4" t="s">
        <v>39</v>
      </c>
      <c r="J75" s="8" t="d">
        <v>2021-09-16</v>
      </c>
      <c r="K75" s="8" t="s">
        <v>23</v>
      </c>
      <c r="L75" s="5" t="s">
        <v>97</v>
      </c>
      <c r="M75" s="5" t="s">
        <v>24</v>
      </c>
      <c r="N75" s="5">
        <v>0</v>
      </c>
      <c r="O75" s="9">
        <f>YEAR(Table2[[#This Row],[Date of Joining]])</f>
        <v>2021</v>
      </c>
      <c r="P75" s="9" t="str">
        <f t="shared" ca="1" si="1"/>
        <v>4+ years</v>
      </c>
    </row>
    <row r="76" spans="1:16" x14ac:dyDescent="0.2">
      <c r="A76" s="3" t="s">
        <v>16</v>
      </c>
      <c r="B76" s="3" t="s">
        <v>133</v>
      </c>
      <c r="C76" s="4">
        <v>190396</v>
      </c>
      <c r="D76" s="5" t="s">
        <v>135</v>
      </c>
      <c r="E76" s="6" t="d">
        <v>2021-08-10</v>
      </c>
      <c r="F76" s="6"/>
      <c r="G76" s="7" t="s">
        <v>57</v>
      </c>
      <c r="H76" s="4" t="s">
        <v>86</v>
      </c>
      <c r="I76" s="4" t="s">
        <v>22</v>
      </c>
      <c r="J76" s="8" t="d">
        <v>2021-11-13</v>
      </c>
      <c r="K76" s="8" t="s">
        <v>23</v>
      </c>
      <c r="L76" s="5" t="s">
        <v>97</v>
      </c>
      <c r="M76" s="5" t="s">
        <v>24</v>
      </c>
      <c r="N76" s="5">
        <v>0</v>
      </c>
      <c r="O76" s="9">
        <f>YEAR(Table2[[#This Row],[Date of Joining]])</f>
        <v>2021</v>
      </c>
      <c r="P76" s="9" t="str">
        <f t="shared" ca="1" si="1"/>
        <v>4+ years</v>
      </c>
    </row>
    <row r="77" spans="1:16" x14ac:dyDescent="0.2">
      <c r="A77" s="3" t="s">
        <v>136</v>
      </c>
      <c r="B77" s="3"/>
      <c r="C77" s="4">
        <v>161242</v>
      </c>
      <c r="D77" s="5" t="s">
        <v>137</v>
      </c>
      <c r="E77" s="6" t="d">
        <v>2021-08-12</v>
      </c>
      <c r="F77" s="6"/>
      <c r="G77" s="5" t="s">
        <v>52</v>
      </c>
      <c r="H77" s="4" t="s">
        <v>86</v>
      </c>
      <c r="I77" s="4" t="s">
        <v>22</v>
      </c>
      <c r="J77" s="8" t="d">
        <v>2021-12-26</v>
      </c>
      <c r="K77" s="8" t="s">
        <v>28</v>
      </c>
      <c r="L77" s="5" t="s">
        <v>29</v>
      </c>
      <c r="M77" s="5" t="s">
        <v>24</v>
      </c>
      <c r="N77" s="5">
        <v>10</v>
      </c>
      <c r="O77" s="9">
        <f>YEAR(Table2[[#This Row],[Date of Joining]])</f>
        <v>2021</v>
      </c>
      <c r="P77" s="9" t="str">
        <f t="shared" ca="1" si="1"/>
        <v>4+ years</v>
      </c>
    </row>
    <row r="78" spans="1:16" x14ac:dyDescent="0.2">
      <c r="A78" s="3" t="s">
        <v>25</v>
      </c>
      <c r="B78" s="3"/>
      <c r="C78" s="4">
        <v>156965</v>
      </c>
      <c r="D78" s="5" t="s">
        <v>138</v>
      </c>
      <c r="E78" s="6" t="d">
        <v>2021-08-17</v>
      </c>
      <c r="F78" s="6" t="d">
        <v>2022-03-16</v>
      </c>
      <c r="G78" s="7" t="s">
        <v>57</v>
      </c>
      <c r="H78" s="4" t="s">
        <v>86</v>
      </c>
      <c r="I78" s="4" t="s">
        <v>39</v>
      </c>
      <c r="J78" s="8" t="d">
        <v>2021-02-20</v>
      </c>
      <c r="K78" s="8" t="s">
        <v>28</v>
      </c>
      <c r="L78" s="5" t="s">
        <v>29</v>
      </c>
      <c r="M78" s="5" t="s">
        <v>24</v>
      </c>
      <c r="N78" s="5">
        <v>11</v>
      </c>
      <c r="O78" s="9">
        <f>YEAR(Table2[[#This Row],[Date of Joining]])</f>
        <v>2021</v>
      </c>
      <c r="P78" s="9" t="str">
        <f t="shared" ca="1" si="1"/>
        <v>4+ years</v>
      </c>
    </row>
    <row r="79" spans="1:16" x14ac:dyDescent="0.2">
      <c r="A79" s="3" t="s">
        <v>25</v>
      </c>
      <c r="B79" s="3"/>
      <c r="C79" s="4">
        <v>192455</v>
      </c>
      <c r="D79" s="5" t="s">
        <v>139</v>
      </c>
      <c r="E79" s="6" t="d">
        <v>2021-09-01</v>
      </c>
      <c r="F79" s="6" t="d">
        <v>2021-02-06</v>
      </c>
      <c r="G79" s="7" t="s">
        <v>20</v>
      </c>
      <c r="H79" s="4" t="s">
        <v>86</v>
      </c>
      <c r="I79" s="4" t="s">
        <v>22</v>
      </c>
      <c r="J79" s="8" t="d">
        <v>2021-05-22</v>
      </c>
      <c r="K79" s="8" t="s">
        <v>28</v>
      </c>
      <c r="L79" s="5" t="s">
        <v>29</v>
      </c>
      <c r="M79" s="5" t="s">
        <v>44</v>
      </c>
      <c r="N79" s="5">
        <v>8</v>
      </c>
      <c r="O79" s="9">
        <f>YEAR(Table2[[#This Row],[Date of Joining]])</f>
        <v>2021</v>
      </c>
      <c r="P79" s="9" t="str">
        <f t="shared" ca="1" si="1"/>
        <v>4+ years</v>
      </c>
    </row>
    <row r="80" spans="1:16" x14ac:dyDescent="0.2">
      <c r="A80" s="3" t="s">
        <v>25</v>
      </c>
      <c r="B80" s="3"/>
      <c r="C80" s="4">
        <v>174038</v>
      </c>
      <c r="D80" s="5" t="s">
        <v>140</v>
      </c>
      <c r="E80" s="6" t="d">
        <v>2021-09-01</v>
      </c>
      <c r="F80" s="6" t="d">
        <v>2021-03-27</v>
      </c>
      <c r="G80" s="7" t="s">
        <v>57</v>
      </c>
      <c r="H80" s="4" t="s">
        <v>86</v>
      </c>
      <c r="I80" s="4" t="s">
        <v>39</v>
      </c>
      <c r="J80" s="8" t="d">
        <v>2021-12-10</v>
      </c>
      <c r="K80" s="8" t="s">
        <v>28</v>
      </c>
      <c r="L80" s="5" t="s">
        <v>29</v>
      </c>
      <c r="M80" s="5" t="s">
        <v>30</v>
      </c>
      <c r="N80" s="5">
        <v>12</v>
      </c>
      <c r="O80" s="9">
        <f>YEAR(Table2[[#This Row],[Date of Joining]])</f>
        <v>2021</v>
      </c>
      <c r="P80" s="9" t="str">
        <f t="shared" ca="1" si="1"/>
        <v>4+ years</v>
      </c>
    </row>
    <row r="81" spans="1:16" x14ac:dyDescent="0.2">
      <c r="A81" s="3" t="s">
        <v>16</v>
      </c>
      <c r="B81" s="3"/>
      <c r="C81" s="4">
        <v>129765</v>
      </c>
      <c r="D81" s="5" t="s">
        <v>141</v>
      </c>
      <c r="E81" s="6" t="d">
        <v>2021-09-01</v>
      </c>
      <c r="F81" s="6"/>
      <c r="G81" s="7" t="s">
        <v>20</v>
      </c>
      <c r="H81" s="4" t="s">
        <v>86</v>
      </c>
      <c r="I81" s="4" t="s">
        <v>22</v>
      </c>
      <c r="J81" s="8" t="d">
        <v>2021-01-15</v>
      </c>
      <c r="K81" s="8" t="s">
        <v>23</v>
      </c>
      <c r="L81" s="5" t="s">
        <v>29</v>
      </c>
      <c r="M81" s="5" t="s">
        <v>24</v>
      </c>
      <c r="N81" s="5">
        <v>5</v>
      </c>
      <c r="O81" s="9">
        <f>YEAR(Table2[[#This Row],[Date of Joining]])</f>
        <v>2021</v>
      </c>
      <c r="P81" s="9" t="str">
        <f t="shared" ca="1" si="1"/>
        <v>4+ years</v>
      </c>
    </row>
    <row r="82" spans="1:16" x14ac:dyDescent="0.2">
      <c r="A82" s="3" t="s">
        <v>16</v>
      </c>
      <c r="B82" s="3"/>
      <c r="C82" s="4">
        <v>154732</v>
      </c>
      <c r="D82" s="5" t="s">
        <v>142</v>
      </c>
      <c r="E82" s="6" t="d">
        <v>2021-09-09</v>
      </c>
      <c r="F82" s="6"/>
      <c r="G82" s="7" t="s">
        <v>65</v>
      </c>
      <c r="H82" s="4" t="s">
        <v>86</v>
      </c>
      <c r="I82" s="4" t="s">
        <v>39</v>
      </c>
      <c r="J82" s="8" t="d">
        <v>2021-11-07</v>
      </c>
      <c r="K82" s="8" t="s">
        <v>23</v>
      </c>
      <c r="L82" s="5" t="s">
        <v>97</v>
      </c>
      <c r="M82" s="5" t="s">
        <v>24</v>
      </c>
      <c r="N82" s="5">
        <v>0</v>
      </c>
      <c r="O82" s="9">
        <f>YEAR(Table2[[#This Row],[Date of Joining]])</f>
        <v>2021</v>
      </c>
      <c r="P82" s="9" t="str">
        <f t="shared" ca="1" si="1"/>
        <v>4+ years</v>
      </c>
    </row>
    <row r="83" spans="1:16" x14ac:dyDescent="0.2">
      <c r="A83" s="3" t="s">
        <v>16</v>
      </c>
      <c r="B83" s="3"/>
      <c r="C83" s="4">
        <v>137413</v>
      </c>
      <c r="D83" s="5" t="s">
        <v>143</v>
      </c>
      <c r="E83" s="6" t="d">
        <v>2021-09-16</v>
      </c>
      <c r="F83" s="6"/>
      <c r="G83" s="7" t="s">
        <v>65</v>
      </c>
      <c r="H83" s="4" t="s">
        <v>86</v>
      </c>
      <c r="I83" s="4" t="s">
        <v>22</v>
      </c>
      <c r="J83" s="8" t="d">
        <v>2021-01-24</v>
      </c>
      <c r="K83" s="8" t="s">
        <v>23</v>
      </c>
      <c r="L83" s="5" t="s">
        <v>89</v>
      </c>
      <c r="M83" s="5" t="s">
        <v>24</v>
      </c>
      <c r="N83" s="5">
        <v>9</v>
      </c>
      <c r="O83" s="9">
        <f>YEAR(Table2[[#This Row],[Date of Joining]])</f>
        <v>2021</v>
      </c>
      <c r="P83" s="9" t="str">
        <f t="shared" ca="1" si="1"/>
        <v>4+ years</v>
      </c>
    </row>
    <row r="84" spans="1:16" x14ac:dyDescent="0.2">
      <c r="A84" s="3" t="s">
        <v>16</v>
      </c>
      <c r="B84" s="3"/>
      <c r="C84" s="4">
        <v>185734</v>
      </c>
      <c r="D84" s="5" t="s">
        <v>144</v>
      </c>
      <c r="E84" s="6" t="d">
        <v>2021-09-16</v>
      </c>
      <c r="F84" s="6"/>
      <c r="G84" s="7" t="s">
        <v>57</v>
      </c>
      <c r="H84" s="4" t="s">
        <v>86</v>
      </c>
      <c r="I84" s="4" t="s">
        <v>22</v>
      </c>
      <c r="J84" s="8" t="d">
        <v>2021-12-06</v>
      </c>
      <c r="K84" s="8" t="s">
        <v>23</v>
      </c>
      <c r="L84" s="5" t="s">
        <v>97</v>
      </c>
      <c r="M84" s="5" t="s">
        <v>49</v>
      </c>
      <c r="N84" s="5">
        <v>0</v>
      </c>
      <c r="O84" s="9">
        <f>YEAR(Table2[[#This Row],[Date of Joining]])</f>
        <v>2021</v>
      </c>
      <c r="P84" s="9" t="str">
        <f t="shared" ca="1" si="1"/>
        <v>4+ years</v>
      </c>
    </row>
    <row r="85" spans="1:16" x14ac:dyDescent="0.2">
      <c r="A85" s="3" t="s">
        <v>16</v>
      </c>
      <c r="B85" s="3"/>
      <c r="C85" s="4">
        <v>142749</v>
      </c>
      <c r="D85" s="5" t="s">
        <v>145</v>
      </c>
      <c r="E85" s="6" t="d">
        <v>2021-09-30</v>
      </c>
      <c r="F85" s="6"/>
      <c r="G85" s="7" t="s">
        <v>57</v>
      </c>
      <c r="H85" s="4" t="s">
        <v>86</v>
      </c>
      <c r="I85" s="4" t="s">
        <v>22</v>
      </c>
      <c r="J85" s="8" t="d">
        <v>2021-07-04</v>
      </c>
      <c r="K85" s="8" t="s">
        <v>23</v>
      </c>
      <c r="L85" s="5" t="s">
        <v>29</v>
      </c>
      <c r="M85" s="5" t="s">
        <v>24</v>
      </c>
      <c r="N85" s="5">
        <v>17</v>
      </c>
      <c r="O85" s="9">
        <f>YEAR(Table2[[#This Row],[Date of Joining]])</f>
        <v>2021</v>
      </c>
      <c r="P85" s="9" t="str">
        <f t="shared" ca="1" si="1"/>
        <v>4+ years</v>
      </c>
    </row>
    <row r="86" spans="1:16" x14ac:dyDescent="0.2">
      <c r="A86" s="3" t="s">
        <v>25</v>
      </c>
      <c r="B86" s="3"/>
      <c r="C86" s="4">
        <v>116657</v>
      </c>
      <c r="D86" s="5" t="s">
        <v>146</v>
      </c>
      <c r="E86" s="6" t="d">
        <v>2021-10-21</v>
      </c>
      <c r="F86" s="6" t="d">
        <v>2022-06-28</v>
      </c>
      <c r="G86" s="7" t="s">
        <v>57</v>
      </c>
      <c r="H86" s="4" t="s">
        <v>86</v>
      </c>
      <c r="I86" s="4" t="s">
        <v>22</v>
      </c>
      <c r="J86" s="8" t="d">
        <v>2021-04-14</v>
      </c>
      <c r="K86" s="8" t="s">
        <v>23</v>
      </c>
      <c r="L86" s="5" t="s">
        <v>29</v>
      </c>
      <c r="M86" s="5" t="s">
        <v>24</v>
      </c>
      <c r="N86" s="5">
        <v>4.5999999999999996</v>
      </c>
      <c r="O86" s="9">
        <f>YEAR(Table2[[#This Row],[Date of Joining]])</f>
        <v>2021</v>
      </c>
      <c r="P86" s="9" t="str">
        <f t="shared" ca="1" si="1"/>
        <v>4+ years</v>
      </c>
    </row>
    <row r="87" spans="1:16" x14ac:dyDescent="0.2">
      <c r="A87" s="3" t="s">
        <v>16</v>
      </c>
      <c r="B87" s="3"/>
      <c r="C87" s="4">
        <v>144530</v>
      </c>
      <c r="D87" s="5" t="s">
        <v>147</v>
      </c>
      <c r="E87" s="6" t="d">
        <v>2021-11-18</v>
      </c>
      <c r="F87" s="6"/>
      <c r="G87" s="7" t="s">
        <v>57</v>
      </c>
      <c r="H87" s="4" t="s">
        <v>86</v>
      </c>
      <c r="I87" s="4" t="s">
        <v>22</v>
      </c>
      <c r="J87" s="8" t="d">
        <v>2021-03-20</v>
      </c>
      <c r="K87" s="8" t="s">
        <v>23</v>
      </c>
      <c r="L87" s="5" t="s">
        <v>29</v>
      </c>
      <c r="M87" s="5" t="s">
        <v>62</v>
      </c>
      <c r="N87" s="5">
        <v>14</v>
      </c>
      <c r="O87" s="9">
        <f>YEAR(Table2[[#This Row],[Date of Joining]])</f>
        <v>2021</v>
      </c>
      <c r="P87" s="9" t="str">
        <f t="shared" ca="1" si="1"/>
        <v>4+ years</v>
      </c>
    </row>
    <row r="88" spans="1:16" x14ac:dyDescent="0.2">
      <c r="A88" s="3" t="s">
        <v>16</v>
      </c>
      <c r="B88" s="3"/>
      <c r="C88" s="4">
        <v>101259</v>
      </c>
      <c r="D88" s="5" t="s">
        <v>148</v>
      </c>
      <c r="E88" s="6" t="d">
        <v>2022-02-24</v>
      </c>
      <c r="F88" s="6"/>
      <c r="G88" s="7" t="s">
        <v>38</v>
      </c>
      <c r="H88" s="4" t="s">
        <v>86</v>
      </c>
      <c r="I88" s="4" t="s">
        <v>22</v>
      </c>
      <c r="J88" s="8" t="d">
        <v>2021-11-27</v>
      </c>
      <c r="K88" s="8" t="s">
        <v>28</v>
      </c>
      <c r="L88" s="5" t="s">
        <v>89</v>
      </c>
      <c r="M88" s="5" t="s">
        <v>24</v>
      </c>
      <c r="N88" s="5">
        <v>12</v>
      </c>
      <c r="O88" s="9">
        <f>YEAR(Table2[[#This Row],[Date of Joining]])</f>
        <v>2022</v>
      </c>
      <c r="P88" s="9" t="str">
        <f t="shared" ca="1" si="1"/>
        <v>4+ years</v>
      </c>
    </row>
    <row r="89" spans="1:16" x14ac:dyDescent="0.2">
      <c r="A89" s="3" t="s">
        <v>16</v>
      </c>
      <c r="B89" s="3"/>
      <c r="C89" s="4">
        <v>122323</v>
      </c>
      <c r="D89" s="5" t="s">
        <v>149</v>
      </c>
      <c r="E89" s="6" t="d">
        <v>2022-03-03</v>
      </c>
      <c r="F89" s="6"/>
      <c r="G89" s="5" t="s">
        <v>43</v>
      </c>
      <c r="H89" s="4" t="s">
        <v>86</v>
      </c>
      <c r="I89" s="4" t="s">
        <v>39</v>
      </c>
      <c r="J89" s="8" t="d">
        <v>2021-08-18</v>
      </c>
      <c r="K89" s="8" t="s">
        <v>28</v>
      </c>
      <c r="L89" s="5" t="s">
        <v>29</v>
      </c>
      <c r="M89" s="5" t="s">
        <v>62</v>
      </c>
      <c r="N89" s="5">
        <v>14</v>
      </c>
      <c r="O89" s="9">
        <f>YEAR(Table2[[#This Row],[Date of Joining]])</f>
        <v>2022</v>
      </c>
      <c r="P89" s="9" t="str">
        <f t="shared" ca="1" si="1"/>
        <v>4+ years</v>
      </c>
    </row>
    <row r="90" spans="1:16" x14ac:dyDescent="0.2">
      <c r="A90" s="3" t="s">
        <v>16</v>
      </c>
      <c r="B90" s="3"/>
      <c r="C90" s="4">
        <v>136489</v>
      </c>
      <c r="D90" s="5" t="s">
        <v>150</v>
      </c>
      <c r="E90" s="6" t="d">
        <v>2022-03-17</v>
      </c>
      <c r="F90" s="6"/>
      <c r="G90" s="7" t="s">
        <v>57</v>
      </c>
      <c r="H90" s="4" t="s">
        <v>86</v>
      </c>
      <c r="I90" s="4" t="s">
        <v>22</v>
      </c>
      <c r="J90" s="8" t="d">
        <v>2021-02-03</v>
      </c>
      <c r="K90" s="8" t="s">
        <v>28</v>
      </c>
      <c r="L90" s="5" t="s">
        <v>29</v>
      </c>
      <c r="M90" s="5" t="s">
        <v>62</v>
      </c>
      <c r="N90" s="5">
        <v>5.3</v>
      </c>
      <c r="O90" s="9">
        <f>YEAR(Table2[[#This Row],[Date of Joining]])</f>
        <v>2022</v>
      </c>
      <c r="P90" s="9" t="str">
        <f t="shared" ca="1" si="1"/>
        <v>4+ years</v>
      </c>
    </row>
    <row r="91" spans="1:16" x14ac:dyDescent="0.2">
      <c r="A91" s="3" t="s">
        <v>16</v>
      </c>
      <c r="B91" s="3"/>
      <c r="C91" s="4">
        <v>107161</v>
      </c>
      <c r="D91" s="5" t="s">
        <v>151</v>
      </c>
      <c r="E91" s="6" t="d">
        <v>2022-03-24</v>
      </c>
      <c r="F91" s="6"/>
      <c r="G91" s="7" t="s">
        <v>20</v>
      </c>
      <c r="H91" s="4" t="s">
        <v>86</v>
      </c>
      <c r="I91" s="4" t="s">
        <v>39</v>
      </c>
      <c r="J91" s="8" t="d">
        <v>2021-07-25</v>
      </c>
      <c r="K91" s="8" t="s">
        <v>23</v>
      </c>
      <c r="L91" s="5" t="s">
        <v>97</v>
      </c>
      <c r="M91" s="5" t="s">
        <v>62</v>
      </c>
      <c r="N91" s="5">
        <v>2.5</v>
      </c>
      <c r="O91" s="9">
        <f>YEAR(Table2[[#This Row],[Date of Joining]])</f>
        <v>2022</v>
      </c>
      <c r="P91" s="9" t="str">
        <f t="shared" ca="1" si="1"/>
        <v>4+ years</v>
      </c>
    </row>
    <row r="92" spans="1:16" x14ac:dyDescent="0.2">
      <c r="A92" s="3" t="s">
        <v>16</v>
      </c>
      <c r="B92" s="3"/>
      <c r="C92" s="4">
        <v>182061</v>
      </c>
      <c r="D92" s="5" t="s">
        <v>152</v>
      </c>
      <c r="E92" s="6" t="d">
        <v>2022-03-24</v>
      </c>
      <c r="F92" s="6"/>
      <c r="G92" s="7" t="s">
        <v>57</v>
      </c>
      <c r="H92" s="4" t="s">
        <v>86</v>
      </c>
      <c r="I92" s="4" t="s">
        <v>22</v>
      </c>
      <c r="J92" s="8" t="d">
        <v>2021-05-06</v>
      </c>
      <c r="K92" s="8" t="s">
        <v>23</v>
      </c>
      <c r="L92" s="5" t="s">
        <v>29</v>
      </c>
      <c r="M92" s="5" t="s">
        <v>62</v>
      </c>
      <c r="N92" s="5">
        <v>2.11</v>
      </c>
      <c r="O92" s="9">
        <f>YEAR(Table2[[#This Row],[Date of Joining]])</f>
        <v>2022</v>
      </c>
      <c r="P92" s="9" t="str">
        <f t="shared" ca="1" si="1"/>
        <v>4+ years</v>
      </c>
    </row>
    <row r="93" spans="1:16" x14ac:dyDescent="0.2">
      <c r="A93" s="3" t="s">
        <v>16</v>
      </c>
      <c r="B93" s="3"/>
      <c r="C93" s="4">
        <v>123190</v>
      </c>
      <c r="D93" s="5" t="s">
        <v>153</v>
      </c>
      <c r="E93" s="6" t="d">
        <v>2022-04-07</v>
      </c>
      <c r="F93" s="6"/>
      <c r="G93" s="7" t="s">
        <v>57</v>
      </c>
      <c r="H93" s="4" t="s">
        <v>86</v>
      </c>
      <c r="I93" s="4" t="s">
        <v>39</v>
      </c>
      <c r="J93" s="8" t="d">
        <v>2021-01-18</v>
      </c>
      <c r="K93" s="8" t="s">
        <v>23</v>
      </c>
      <c r="L93" s="5" t="s">
        <v>97</v>
      </c>
      <c r="M93" s="5" t="s">
        <v>62</v>
      </c>
      <c r="N93" s="5">
        <v>0</v>
      </c>
      <c r="O93" s="9">
        <f>YEAR(Table2[[#This Row],[Date of Joining]])</f>
        <v>2022</v>
      </c>
      <c r="P93" s="9" t="str">
        <f t="shared" ca="1" si="1"/>
        <v>4+ years</v>
      </c>
    </row>
    <row r="94" spans="1:16" x14ac:dyDescent="0.2">
      <c r="A94" s="3" t="s">
        <v>16</v>
      </c>
      <c r="B94" s="3"/>
      <c r="C94" s="4">
        <v>118638</v>
      </c>
      <c r="D94" s="5" t="s">
        <v>154</v>
      </c>
      <c r="E94" s="6" t="d">
        <v>2022-04-07</v>
      </c>
      <c r="F94" s="6"/>
      <c r="G94" s="7" t="s">
        <v>57</v>
      </c>
      <c r="H94" s="4" t="s">
        <v>86</v>
      </c>
      <c r="I94" s="4" t="s">
        <v>22</v>
      </c>
      <c r="J94" s="8" t="d">
        <v>2021-11-24</v>
      </c>
      <c r="K94" s="8" t="s">
        <v>28</v>
      </c>
      <c r="L94" s="5" t="s">
        <v>29</v>
      </c>
      <c r="M94" s="5" t="s">
        <v>62</v>
      </c>
      <c r="N94" s="5">
        <v>15</v>
      </c>
      <c r="O94" s="9">
        <f>YEAR(Table2[[#This Row],[Date of Joining]])</f>
        <v>2022</v>
      </c>
      <c r="P94" s="9" t="str">
        <f t="shared" ca="1" si="1"/>
        <v>4+ years</v>
      </c>
    </row>
    <row r="95" spans="1:16" x14ac:dyDescent="0.2">
      <c r="A95" s="3" t="s">
        <v>16</v>
      </c>
      <c r="B95" s="3"/>
      <c r="C95" s="4">
        <v>132330</v>
      </c>
      <c r="D95" s="5" t="s">
        <v>155</v>
      </c>
      <c r="E95" s="6" t="d">
        <v>2022-04-14</v>
      </c>
      <c r="F95" s="6"/>
      <c r="G95" s="5" t="s">
        <v>52</v>
      </c>
      <c r="H95" s="4" t="s">
        <v>86</v>
      </c>
      <c r="I95" s="4" t="s">
        <v>22</v>
      </c>
      <c r="J95" s="8" t="d">
        <v>2021-10-14</v>
      </c>
      <c r="K95" s="8" t="s">
        <v>28</v>
      </c>
      <c r="L95" s="5" t="s">
        <v>89</v>
      </c>
      <c r="M95" s="5" t="s">
        <v>49</v>
      </c>
      <c r="N95" s="5">
        <v>14</v>
      </c>
      <c r="O95" s="9">
        <f>YEAR(Table2[[#This Row],[Date of Joining]])</f>
        <v>2022</v>
      </c>
      <c r="P95" s="9" t="str">
        <f t="shared" ca="1" si="1"/>
        <v>4+ years</v>
      </c>
    </row>
    <row r="96" spans="1:16" x14ac:dyDescent="0.2">
      <c r="A96" s="3" t="s">
        <v>16</v>
      </c>
      <c r="B96" s="3"/>
      <c r="C96" s="4">
        <v>191594</v>
      </c>
      <c r="D96" s="5" t="s">
        <v>156</v>
      </c>
      <c r="E96" s="6" t="d">
        <v>2022-04-19</v>
      </c>
      <c r="F96" s="6"/>
      <c r="G96" s="5" t="s">
        <v>43</v>
      </c>
      <c r="H96" s="4" t="s">
        <v>86</v>
      </c>
      <c r="I96" s="4" t="s">
        <v>22</v>
      </c>
      <c r="J96" s="8" t="d">
        <v>2021-09-07</v>
      </c>
      <c r="K96" s="8" t="s">
        <v>28</v>
      </c>
      <c r="L96" s="5" t="s">
        <v>29</v>
      </c>
      <c r="M96" s="5" t="s">
        <v>24</v>
      </c>
      <c r="N96" s="5">
        <v>8</v>
      </c>
      <c r="O96" s="9">
        <f>YEAR(Table2[[#This Row],[Date of Joining]])</f>
        <v>2022</v>
      </c>
      <c r="P96" s="9" t="str">
        <f t="shared" ca="1" si="1"/>
        <v>4+ years</v>
      </c>
    </row>
    <row r="97" spans="1:16" x14ac:dyDescent="0.2">
      <c r="A97" s="3" t="s">
        <v>136</v>
      </c>
      <c r="B97" s="3"/>
      <c r="C97" s="4">
        <v>152991</v>
      </c>
      <c r="D97" s="5" t="s">
        <v>157</v>
      </c>
      <c r="E97" s="6" t="d">
        <v>2022-05-05</v>
      </c>
      <c r="F97" s="6"/>
      <c r="G97" s="7" t="s">
        <v>38</v>
      </c>
      <c r="H97" s="4" t="s">
        <v>86</v>
      </c>
      <c r="I97" s="4" t="s">
        <v>22</v>
      </c>
      <c r="J97" s="8" t="d">
        <v>2021-02-18</v>
      </c>
      <c r="K97" s="8" t="s">
        <v>28</v>
      </c>
      <c r="L97" s="5" t="s">
        <v>29</v>
      </c>
      <c r="M97" s="5" t="s">
        <v>24</v>
      </c>
      <c r="N97" s="5">
        <v>15</v>
      </c>
      <c r="O97" s="9">
        <f>YEAR(Table2[[#This Row],[Date of Joining]])</f>
        <v>2022</v>
      </c>
      <c r="P97" s="9" t="str">
        <f t="shared" ca="1" si="1"/>
        <v>4+ years</v>
      </c>
    </row>
    <row r="98" spans="1:16" x14ac:dyDescent="0.2">
      <c r="A98" s="3" t="s">
        <v>25</v>
      </c>
      <c r="B98" s="3" t="s">
        <v>133</v>
      </c>
      <c r="C98" s="4">
        <v>101996</v>
      </c>
      <c r="D98" s="5" t="s">
        <v>158</v>
      </c>
      <c r="E98" s="6" t="d">
        <v>2022-06-30</v>
      </c>
      <c r="F98" s="6" t="d">
        <v>2023-07-01</v>
      </c>
      <c r="G98" s="7" t="s">
        <v>38</v>
      </c>
      <c r="H98" s="4" t="s">
        <v>86</v>
      </c>
      <c r="I98" s="4" t="s">
        <v>22</v>
      </c>
      <c r="J98" s="8" t="d">
        <v>2021-08-06</v>
      </c>
      <c r="K98" s="8" t="s">
        <v>23</v>
      </c>
      <c r="L98" s="5" t="s">
        <v>97</v>
      </c>
      <c r="M98" s="5" t="s">
        <v>62</v>
      </c>
      <c r="N98" s="5">
        <v>1</v>
      </c>
      <c r="O98" s="9">
        <f>YEAR(Table2[[#This Row],[Date of Joining]])</f>
        <v>2022</v>
      </c>
      <c r="P98" s="9" t="str">
        <f t="shared" ca="1" si="1"/>
        <v>4+ years</v>
      </c>
    </row>
    <row r="99" spans="1:16" x14ac:dyDescent="0.2">
      <c r="A99" s="3" t="s">
        <v>25</v>
      </c>
      <c r="B99" s="3"/>
      <c r="C99" s="4">
        <v>138939</v>
      </c>
      <c r="D99" s="5" t="s">
        <v>159</v>
      </c>
      <c r="E99" s="6" t="d">
        <v>2022-07-07</v>
      </c>
      <c r="F99" s="6" t="d">
        <v>2023-05-08</v>
      </c>
      <c r="G99" s="7" t="s">
        <v>38</v>
      </c>
      <c r="H99" s="4" t="s">
        <v>86</v>
      </c>
      <c r="I99" s="4" t="s">
        <v>39</v>
      </c>
      <c r="J99" s="8" t="d">
        <v>2021-04-03</v>
      </c>
      <c r="K99" s="8" t="s">
        <v>28</v>
      </c>
      <c r="L99" s="5" t="s">
        <v>29</v>
      </c>
      <c r="M99" s="5" t="s">
        <v>24</v>
      </c>
      <c r="N99" s="5">
        <v>6</v>
      </c>
      <c r="O99" s="9">
        <f>YEAR(Table2[[#This Row],[Date of Joining]])</f>
        <v>2022</v>
      </c>
      <c r="P99" s="9" t="str">
        <f t="shared" ca="1" si="1"/>
        <v>3+ years</v>
      </c>
    </row>
    <row r="100" spans="1:16" x14ac:dyDescent="0.2">
      <c r="A100" s="3" t="s">
        <v>25</v>
      </c>
      <c r="B100" s="3"/>
      <c r="C100" s="4">
        <v>198396</v>
      </c>
      <c r="D100" s="5" t="s">
        <v>160</v>
      </c>
      <c r="E100" s="6" t="d">
        <v>2022-07-21</v>
      </c>
      <c r="F100" s="6" t="d">
        <v>2024-02-02</v>
      </c>
      <c r="G100" s="7" t="s">
        <v>38</v>
      </c>
      <c r="H100" s="4" t="s">
        <v>86</v>
      </c>
      <c r="I100" s="4" t="s">
        <v>22</v>
      </c>
      <c r="J100" s="8" t="d">
        <v>2021-01-12</v>
      </c>
      <c r="K100" s="8" t="s">
        <v>28</v>
      </c>
      <c r="L100" s="5" t="s">
        <v>89</v>
      </c>
      <c r="M100" s="5" t="s">
        <v>30</v>
      </c>
      <c r="N100" s="5">
        <v>18</v>
      </c>
      <c r="O100" s="9">
        <f>YEAR(Table2[[#This Row],[Date of Joining]])</f>
        <v>2022</v>
      </c>
      <c r="P100" s="9" t="str">
        <f t="shared" ca="1" si="1"/>
        <v>3+ years</v>
      </c>
    </row>
    <row r="101" spans="1:16" x14ac:dyDescent="0.2">
      <c r="A101" s="3" t="s">
        <v>16</v>
      </c>
      <c r="B101" s="3"/>
      <c r="C101" s="4">
        <v>194143</v>
      </c>
      <c r="D101" s="5" t="s">
        <v>161</v>
      </c>
      <c r="E101" s="6" t="d">
        <v>2022-07-21</v>
      </c>
      <c r="F101" s="6"/>
      <c r="G101" s="7" t="s">
        <v>57</v>
      </c>
      <c r="H101" s="4" t="s">
        <v>86</v>
      </c>
      <c r="I101" s="4" t="s">
        <v>22</v>
      </c>
      <c r="J101" s="8" t="d">
        <v>2021-02-21</v>
      </c>
      <c r="K101" s="8" t="s">
        <v>28</v>
      </c>
      <c r="L101" s="5" t="s">
        <v>29</v>
      </c>
      <c r="M101" s="5" t="s">
        <v>62</v>
      </c>
      <c r="N101" s="5">
        <v>6.5</v>
      </c>
      <c r="O101" s="9">
        <f>YEAR(Table2[[#This Row],[Date of Joining]])</f>
        <v>2022</v>
      </c>
      <c r="P101" s="9" t="str">
        <f t="shared" ca="1" si="1"/>
        <v>3+ years</v>
      </c>
    </row>
    <row r="102" spans="1:16" x14ac:dyDescent="0.2">
      <c r="A102" s="3" t="s">
        <v>136</v>
      </c>
      <c r="B102" s="3"/>
      <c r="C102" s="4">
        <v>134729</v>
      </c>
      <c r="D102" s="5" t="s">
        <v>162</v>
      </c>
      <c r="E102" s="6" t="d">
        <v>2022-07-26</v>
      </c>
      <c r="F102" s="6"/>
      <c r="G102" s="7" t="s">
        <v>38</v>
      </c>
      <c r="H102" s="4" t="s">
        <v>86</v>
      </c>
      <c r="I102" s="4" t="s">
        <v>22</v>
      </c>
      <c r="J102" s="8" t="d">
        <v>2021-01-10</v>
      </c>
      <c r="K102" s="8" t="s">
        <v>23</v>
      </c>
      <c r="L102" s="5" t="s">
        <v>29</v>
      </c>
      <c r="M102" s="5" t="s">
        <v>24</v>
      </c>
      <c r="N102" s="5">
        <v>7</v>
      </c>
      <c r="O102" s="9">
        <f>YEAR(Table2[[#This Row],[Date of Joining]])</f>
        <v>2022</v>
      </c>
      <c r="P102" s="9" t="str">
        <f t="shared" ca="1" si="1"/>
        <v>3+ years</v>
      </c>
    </row>
    <row r="103" spans="1:16" x14ac:dyDescent="0.2">
      <c r="A103" s="3" t="s">
        <v>25</v>
      </c>
      <c r="B103" s="3"/>
      <c r="C103" s="4">
        <v>186526</v>
      </c>
      <c r="D103" s="5" t="s">
        <v>163</v>
      </c>
      <c r="E103" s="6" t="d">
        <v>2022-09-01</v>
      </c>
      <c r="F103" s="6" t="d">
        <v>2023-12-09</v>
      </c>
      <c r="G103" s="7" t="s">
        <v>57</v>
      </c>
      <c r="H103" s="4" t="s">
        <v>86</v>
      </c>
      <c r="I103" s="4" t="s">
        <v>39</v>
      </c>
      <c r="J103" s="8" t="d">
        <v>2021-12-10</v>
      </c>
      <c r="K103" s="8" t="s">
        <v>28</v>
      </c>
      <c r="L103" s="5" t="s">
        <v>97</v>
      </c>
      <c r="M103" s="5" t="s">
        <v>62</v>
      </c>
      <c r="N103" s="5">
        <v>1.8</v>
      </c>
      <c r="O103" s="9">
        <f>YEAR(Table2[[#This Row],[Date of Joining]])</f>
        <v>2022</v>
      </c>
      <c r="P103" s="9" t="str">
        <f t="shared" ca="1" si="1"/>
        <v>3+ years</v>
      </c>
    </row>
    <row r="104" spans="1:16" x14ac:dyDescent="0.2">
      <c r="A104" s="3" t="s">
        <v>16</v>
      </c>
      <c r="B104" s="3"/>
      <c r="C104" s="4">
        <v>115395</v>
      </c>
      <c r="D104" s="5" t="s">
        <v>164</v>
      </c>
      <c r="E104" s="6" t="d">
        <v>2022-09-01</v>
      </c>
      <c r="F104" s="6"/>
      <c r="G104" s="7" t="s">
        <v>57</v>
      </c>
      <c r="H104" s="4" t="s">
        <v>86</v>
      </c>
      <c r="I104" s="4" t="s">
        <v>39</v>
      </c>
      <c r="J104" s="8" t="d">
        <v>2021-10-26</v>
      </c>
      <c r="K104" s="8" t="s">
        <v>23</v>
      </c>
      <c r="L104" s="5" t="s">
        <v>97</v>
      </c>
      <c r="M104" s="5" t="s">
        <v>62</v>
      </c>
      <c r="N104" s="5">
        <v>3.5</v>
      </c>
      <c r="O104" s="9">
        <f>YEAR(Table2[[#This Row],[Date of Joining]])</f>
        <v>2022</v>
      </c>
      <c r="P104" s="9" t="str">
        <f t="shared" ca="1" si="1"/>
        <v>3+ years</v>
      </c>
    </row>
    <row r="105" spans="1:16" x14ac:dyDescent="0.2">
      <c r="A105" s="3" t="s">
        <v>16</v>
      </c>
      <c r="B105" s="3"/>
      <c r="C105" s="4">
        <v>160948</v>
      </c>
      <c r="D105" s="5" t="s">
        <v>165</v>
      </c>
      <c r="E105" s="6" t="d">
        <v>2022-09-01</v>
      </c>
      <c r="F105" s="6"/>
      <c r="G105" s="7" t="s">
        <v>57</v>
      </c>
      <c r="H105" s="4" t="s">
        <v>86</v>
      </c>
      <c r="I105" s="4" t="s">
        <v>39</v>
      </c>
      <c r="J105" s="8" t="d">
        <v>2021-10-03</v>
      </c>
      <c r="K105" s="8" t="s">
        <v>23</v>
      </c>
      <c r="L105" s="5" t="s">
        <v>97</v>
      </c>
      <c r="M105" s="5" t="s">
        <v>62</v>
      </c>
      <c r="N105" s="5">
        <v>0</v>
      </c>
      <c r="O105" s="9">
        <f>YEAR(Table2[[#This Row],[Date of Joining]])</f>
        <v>2022</v>
      </c>
      <c r="P105" s="9" t="str">
        <f t="shared" ca="1" si="1"/>
        <v>3+ years</v>
      </c>
    </row>
    <row r="106" spans="1:16" x14ac:dyDescent="0.2">
      <c r="A106" s="3" t="s">
        <v>16</v>
      </c>
      <c r="B106" s="3"/>
      <c r="C106" s="4">
        <v>163814</v>
      </c>
      <c r="D106" s="5" t="s">
        <v>166</v>
      </c>
      <c r="E106" s="6" t="d">
        <v>2022-09-01</v>
      </c>
      <c r="F106" s="6"/>
      <c r="G106" s="7" t="s">
        <v>20</v>
      </c>
      <c r="H106" s="4" t="s">
        <v>86</v>
      </c>
      <c r="I106" s="4" t="s">
        <v>22</v>
      </c>
      <c r="J106" s="8" t="d">
        <v>2021-01-12</v>
      </c>
      <c r="K106" s="8" t="s">
        <v>23</v>
      </c>
      <c r="L106" s="5" t="s">
        <v>97</v>
      </c>
      <c r="M106" s="5" t="s">
        <v>62</v>
      </c>
      <c r="N106" s="5">
        <v>2</v>
      </c>
      <c r="O106" s="9">
        <f>YEAR(Table2[[#This Row],[Date of Joining]])</f>
        <v>2022</v>
      </c>
      <c r="P106" s="9" t="str">
        <f t="shared" ca="1" si="1"/>
        <v>3+ years</v>
      </c>
    </row>
    <row r="107" spans="1:16" x14ac:dyDescent="0.2">
      <c r="A107" s="3" t="s">
        <v>16</v>
      </c>
      <c r="B107" s="3"/>
      <c r="C107" s="4">
        <v>163161</v>
      </c>
      <c r="D107" s="5" t="s">
        <v>167</v>
      </c>
      <c r="E107" s="6" t="d">
        <v>2022-09-01</v>
      </c>
      <c r="F107" s="6"/>
      <c r="G107" s="7" t="s">
        <v>57</v>
      </c>
      <c r="H107" s="4" t="s">
        <v>86</v>
      </c>
      <c r="I107" s="4" t="s">
        <v>22</v>
      </c>
      <c r="J107" s="8" t="d">
        <v>2021-01-19</v>
      </c>
      <c r="K107" s="8" t="s">
        <v>28</v>
      </c>
      <c r="L107" s="5" t="s">
        <v>29</v>
      </c>
      <c r="M107" s="5" t="s">
        <v>62</v>
      </c>
      <c r="N107" s="5">
        <v>13</v>
      </c>
      <c r="O107" s="9">
        <f>YEAR(Table2[[#This Row],[Date of Joining]])</f>
        <v>2022</v>
      </c>
      <c r="P107" s="9" t="str">
        <f t="shared" ca="1" si="1"/>
        <v>3+ years</v>
      </c>
    </row>
    <row r="108" spans="1:16" x14ac:dyDescent="0.2">
      <c r="A108" s="3" t="s">
        <v>16</v>
      </c>
      <c r="B108" s="3"/>
      <c r="C108" s="4">
        <v>173240</v>
      </c>
      <c r="D108" s="5" t="s">
        <v>168</v>
      </c>
      <c r="E108" s="6" t="d">
        <v>2022-09-15</v>
      </c>
      <c r="F108" s="6"/>
      <c r="G108" s="7" t="s">
        <v>20</v>
      </c>
      <c r="H108" s="4" t="s">
        <v>86</v>
      </c>
      <c r="I108" s="4" t="s">
        <v>39</v>
      </c>
      <c r="J108" s="8" t="d">
        <v>2021-02-02</v>
      </c>
      <c r="K108" s="8" t="s">
        <v>28</v>
      </c>
      <c r="L108" s="5" t="s">
        <v>29</v>
      </c>
      <c r="M108" s="5" t="s">
        <v>62</v>
      </c>
      <c r="N108" s="5">
        <v>8.1999999999999993</v>
      </c>
      <c r="O108" s="9">
        <f>YEAR(Table2[[#This Row],[Date of Joining]])</f>
        <v>2022</v>
      </c>
      <c r="P108" s="9" t="str">
        <f t="shared" ca="1" si="1"/>
        <v>3+ years</v>
      </c>
    </row>
    <row r="109" spans="1:16" x14ac:dyDescent="0.2">
      <c r="A109" s="3" t="s">
        <v>16</v>
      </c>
      <c r="B109" s="3"/>
      <c r="C109" s="4">
        <v>109673</v>
      </c>
      <c r="D109" s="5" t="s">
        <v>169</v>
      </c>
      <c r="E109" s="6" t="d">
        <v>2022-10-06</v>
      </c>
      <c r="F109" s="6"/>
      <c r="G109" s="7" t="s">
        <v>57</v>
      </c>
      <c r="H109" s="4" t="s">
        <v>86</v>
      </c>
      <c r="I109" s="4" t="s">
        <v>22</v>
      </c>
      <c r="J109" s="8" t="d">
        <v>2021-05-10</v>
      </c>
      <c r="K109" s="8" t="s">
        <v>23</v>
      </c>
      <c r="L109" s="5" t="s">
        <v>97</v>
      </c>
      <c r="M109" s="5" t="s">
        <v>62</v>
      </c>
      <c r="N109" s="5">
        <v>7.6</v>
      </c>
      <c r="O109" s="9">
        <f>YEAR(Table2[[#This Row],[Date of Joining]])</f>
        <v>2022</v>
      </c>
      <c r="P109" s="9" t="str">
        <f t="shared" ca="1" si="1"/>
        <v>3+ years</v>
      </c>
    </row>
    <row r="110" spans="1:16" x14ac:dyDescent="0.2">
      <c r="A110" s="3" t="s">
        <v>16</v>
      </c>
      <c r="B110" s="3"/>
      <c r="C110" s="4">
        <v>138302</v>
      </c>
      <c r="D110" s="5" t="s">
        <v>170</v>
      </c>
      <c r="E110" s="6" t="d">
        <v>2022-10-13</v>
      </c>
      <c r="F110" s="6"/>
      <c r="G110" s="7" t="s">
        <v>57</v>
      </c>
      <c r="H110" s="4" t="s">
        <v>86</v>
      </c>
      <c r="I110" s="4" t="s">
        <v>22</v>
      </c>
      <c r="J110" s="8" t="d">
        <v>2021-08-25</v>
      </c>
      <c r="K110" s="8" t="s">
        <v>23</v>
      </c>
      <c r="L110" s="5" t="s">
        <v>97</v>
      </c>
      <c r="M110" s="5" t="s">
        <v>62</v>
      </c>
      <c r="N110" s="5">
        <v>6.2</v>
      </c>
      <c r="O110" s="9">
        <f>YEAR(Table2[[#This Row],[Date of Joining]])</f>
        <v>2022</v>
      </c>
      <c r="P110" s="9" t="str">
        <f t="shared" ca="1" si="1"/>
        <v>3+ years</v>
      </c>
    </row>
    <row r="111" spans="1:16" x14ac:dyDescent="0.2">
      <c r="A111" s="3" t="s">
        <v>136</v>
      </c>
      <c r="B111" s="3"/>
      <c r="C111" s="4">
        <v>126765</v>
      </c>
      <c r="D111" s="5" t="s">
        <v>171</v>
      </c>
      <c r="E111" s="6" t="d">
        <v>2022-11-03</v>
      </c>
      <c r="F111" s="6"/>
      <c r="G111" s="7" t="s">
        <v>38</v>
      </c>
      <c r="H111" s="4" t="s">
        <v>86</v>
      </c>
      <c r="I111" s="4" t="s">
        <v>22</v>
      </c>
      <c r="J111" s="8" t="d">
        <v>2021-01-21</v>
      </c>
      <c r="K111" s="8" t="s">
        <v>28</v>
      </c>
      <c r="L111" s="5" t="s">
        <v>29</v>
      </c>
      <c r="M111" s="5" t="s">
        <v>24</v>
      </c>
      <c r="N111" s="5">
        <v>15</v>
      </c>
      <c r="O111" s="9">
        <f>YEAR(Table2[[#This Row],[Date of Joining]])</f>
        <v>2022</v>
      </c>
      <c r="P111" s="9" t="str">
        <f t="shared" ca="1" si="1"/>
        <v>3+ years</v>
      </c>
    </row>
    <row r="112" spans="1:16" x14ac:dyDescent="0.2">
      <c r="A112" s="3" t="s">
        <v>136</v>
      </c>
      <c r="B112" s="3"/>
      <c r="C112" s="4">
        <v>188099</v>
      </c>
      <c r="D112" s="5" t="s">
        <v>172</v>
      </c>
      <c r="E112" s="6" t="d">
        <v>2022-12-06</v>
      </c>
      <c r="F112" s="6"/>
      <c r="G112" s="7" t="s">
        <v>38</v>
      </c>
      <c r="H112" s="4" t="s">
        <v>86</v>
      </c>
      <c r="I112" s="4" t="s">
        <v>22</v>
      </c>
      <c r="J112" s="8" t="d">
        <v>2021-05-16</v>
      </c>
      <c r="K112" s="8" t="s">
        <v>28</v>
      </c>
      <c r="L112" s="5" t="s">
        <v>29</v>
      </c>
      <c r="M112" s="5" t="s">
        <v>24</v>
      </c>
      <c r="N112" s="5">
        <v>16</v>
      </c>
      <c r="O112" s="9">
        <f>YEAR(Table2[[#This Row],[Date of Joining]])</f>
        <v>2022</v>
      </c>
      <c r="P112" s="9" t="str">
        <f t="shared" ca="1" si="1"/>
        <v>3+ years</v>
      </c>
    </row>
    <row r="113" spans="1:16" x14ac:dyDescent="0.2">
      <c r="A113" s="3" t="s">
        <v>16</v>
      </c>
      <c r="B113" s="3" t="s">
        <v>133</v>
      </c>
      <c r="C113" s="4">
        <v>115441</v>
      </c>
      <c r="D113" s="5" t="s">
        <v>173</v>
      </c>
      <c r="E113" s="6" t="d">
        <v>2023-02-01</v>
      </c>
      <c r="F113" s="6"/>
      <c r="G113" s="7" t="s">
        <v>38</v>
      </c>
      <c r="H113" s="4" t="s">
        <v>86</v>
      </c>
      <c r="I113" s="4" t="s">
        <v>22</v>
      </c>
      <c r="J113" s="8" t="d">
        <v>2021-06-30</v>
      </c>
      <c r="K113" s="8" t="s">
        <v>23</v>
      </c>
      <c r="L113" s="5" t="s">
        <v>97</v>
      </c>
      <c r="M113" s="5" t="s">
        <v>44</v>
      </c>
      <c r="N113" s="5">
        <v>1.5</v>
      </c>
      <c r="O113" s="9">
        <f>YEAR(Table2[[#This Row],[Date of Joining]])</f>
        <v>2023</v>
      </c>
      <c r="P113" s="9" t="str">
        <f t="shared" ca="1" si="1"/>
        <v>3+ years</v>
      </c>
    </row>
    <row r="114" spans="1:16" x14ac:dyDescent="0.2">
      <c r="A114" s="3" t="s">
        <v>16</v>
      </c>
      <c r="B114" s="3" t="s">
        <v>133</v>
      </c>
      <c r="C114" s="4">
        <v>169669</v>
      </c>
      <c r="D114" s="5" t="s">
        <v>174</v>
      </c>
      <c r="E114" s="6" t="d">
        <v>2023-04-11</v>
      </c>
      <c r="F114" s="6"/>
      <c r="G114" s="7" t="s">
        <v>38</v>
      </c>
      <c r="H114" s="4" t="s">
        <v>86</v>
      </c>
      <c r="I114" s="4" t="s">
        <v>39</v>
      </c>
      <c r="J114" s="8" t="d">
        <v>2022-03-19</v>
      </c>
      <c r="K114" s="8" t="s">
        <v>28</v>
      </c>
      <c r="L114" s="5" t="s">
        <v>29</v>
      </c>
      <c r="M114" s="5" t="s">
        <v>35</v>
      </c>
      <c r="N114" s="5">
        <v>6</v>
      </c>
      <c r="O114" s="9">
        <f>YEAR(Table2[[#This Row],[Date of Joining]])</f>
        <v>2023</v>
      </c>
      <c r="P114" s="9" t="str">
        <f t="shared" ca="1" si="1"/>
        <v>3+ years</v>
      </c>
    </row>
    <row r="115" spans="1:16" x14ac:dyDescent="0.2">
      <c r="A115" s="3" t="s">
        <v>16</v>
      </c>
      <c r="B115" s="3"/>
      <c r="C115" s="4">
        <v>100957</v>
      </c>
      <c r="D115" s="5" t="s">
        <v>175</v>
      </c>
      <c r="E115" s="6" t="d">
        <v>2023-04-20</v>
      </c>
      <c r="F115" s="6"/>
      <c r="G115" s="7" t="s">
        <v>38</v>
      </c>
      <c r="H115" s="4" t="s">
        <v>86</v>
      </c>
      <c r="I115" s="4" t="s">
        <v>39</v>
      </c>
      <c r="J115" s="8" t="d">
        <v>2022-03-12</v>
      </c>
      <c r="K115" s="8" t="s">
        <v>28</v>
      </c>
      <c r="L115" s="5" t="s">
        <v>29</v>
      </c>
      <c r="M115" s="5" t="s">
        <v>24</v>
      </c>
      <c r="N115" s="5">
        <v>8</v>
      </c>
      <c r="O115" s="9">
        <f>YEAR(Table2[[#This Row],[Date of Joining]])</f>
        <v>2023</v>
      </c>
      <c r="P115" s="9" t="str">
        <f t="shared" ca="1" si="1"/>
        <v>3+ years</v>
      </c>
    </row>
    <row r="116" spans="1:16" x14ac:dyDescent="0.2">
      <c r="A116" s="3" t="s">
        <v>136</v>
      </c>
      <c r="B116" s="3"/>
      <c r="C116" s="4">
        <v>193737</v>
      </c>
      <c r="D116" s="5" t="s">
        <v>176</v>
      </c>
      <c r="E116" s="6" t="d">
        <v>2023-05-11</v>
      </c>
      <c r="F116" s="6"/>
      <c r="G116" s="7" t="s">
        <v>38</v>
      </c>
      <c r="H116" s="4" t="s">
        <v>86</v>
      </c>
      <c r="I116" s="4" t="s">
        <v>22</v>
      </c>
      <c r="J116" s="8" t="d">
        <v>2022-10-13</v>
      </c>
      <c r="K116" s="8" t="s">
        <v>28</v>
      </c>
      <c r="L116" s="5" t="s">
        <v>29</v>
      </c>
      <c r="M116" s="5" t="s">
        <v>24</v>
      </c>
      <c r="N116" s="5">
        <v>11.5</v>
      </c>
      <c r="O116" s="9">
        <f>YEAR(Table2[[#This Row],[Date of Joining]])</f>
        <v>2023</v>
      </c>
      <c r="P116" s="9" t="str">
        <f t="shared" ca="1" si="1"/>
        <v>3+ years</v>
      </c>
    </row>
    <row r="117" spans="1:16" x14ac:dyDescent="0.2">
      <c r="A117" s="3" t="s">
        <v>16</v>
      </c>
      <c r="B117" s="3"/>
      <c r="C117" s="4">
        <v>180698</v>
      </c>
      <c r="D117" s="5" t="s">
        <v>177</v>
      </c>
      <c r="E117" s="6" t="d">
        <v>2023-05-18</v>
      </c>
      <c r="F117" s="6"/>
      <c r="G117" s="7" t="s">
        <v>38</v>
      </c>
      <c r="H117" s="4" t="s">
        <v>86</v>
      </c>
      <c r="I117" s="4" t="s">
        <v>22</v>
      </c>
      <c r="J117" s="8" t="d">
        <v>2022-03-09</v>
      </c>
      <c r="K117" s="8" t="s">
        <v>23</v>
      </c>
      <c r="L117" s="5" t="s">
        <v>29</v>
      </c>
      <c r="M117" s="5" t="s">
        <v>24</v>
      </c>
      <c r="N117" s="5">
        <v>3.5</v>
      </c>
      <c r="O117" s="9">
        <f>YEAR(Table2[[#This Row],[Date of Joining]])</f>
        <v>2023</v>
      </c>
      <c r="P117" s="9" t="str">
        <f t="shared" ca="1" si="1"/>
        <v>3+ years</v>
      </c>
    </row>
    <row r="118" spans="1:16" x14ac:dyDescent="0.2">
      <c r="A118" s="3" t="s">
        <v>25</v>
      </c>
      <c r="B118" s="3"/>
      <c r="C118" s="4">
        <v>124433</v>
      </c>
      <c r="D118" s="5" t="s">
        <v>178</v>
      </c>
      <c r="E118" s="6" t="d">
        <v>2023-06-01</v>
      </c>
      <c r="F118" s="6" t="d">
        <v>2023-07-11</v>
      </c>
      <c r="G118" s="7" t="s">
        <v>57</v>
      </c>
      <c r="H118" s="4" t="s">
        <v>86</v>
      </c>
      <c r="I118" s="4" t="s">
        <v>39</v>
      </c>
      <c r="J118" s="8" t="d">
        <v>2022-11-02</v>
      </c>
      <c r="K118" s="8" t="s">
        <v>23</v>
      </c>
      <c r="L118" s="5" t="s">
        <v>97</v>
      </c>
      <c r="M118" s="5" t="s">
        <v>49</v>
      </c>
      <c r="N118" s="5">
        <v>0</v>
      </c>
      <c r="O118" s="9">
        <f>YEAR(Table2[[#This Row],[Date of Joining]])</f>
        <v>2023</v>
      </c>
      <c r="P118" s="9" t="str">
        <f t="shared" ca="1" si="1"/>
        <v>3+ years</v>
      </c>
    </row>
    <row r="119" spans="1:16" x14ac:dyDescent="0.2">
      <c r="A119" s="3" t="s">
        <v>16</v>
      </c>
      <c r="B119" s="3" t="s">
        <v>133</v>
      </c>
      <c r="C119" s="4">
        <v>151636</v>
      </c>
      <c r="D119" s="5" t="s">
        <v>179</v>
      </c>
      <c r="E119" s="6" t="d">
        <v>2023-06-06</v>
      </c>
      <c r="F119" s="6"/>
      <c r="G119" s="7" t="s">
        <v>38</v>
      </c>
      <c r="H119" s="4" t="s">
        <v>86</v>
      </c>
      <c r="I119" s="4" t="s">
        <v>22</v>
      </c>
      <c r="J119" s="8" t="d">
        <v>2021-02-28</v>
      </c>
      <c r="K119" s="8" t="s">
        <v>23</v>
      </c>
      <c r="L119" s="5" t="s">
        <v>97</v>
      </c>
      <c r="M119" s="5" t="s">
        <v>49</v>
      </c>
      <c r="N119" s="5">
        <v>1.8</v>
      </c>
      <c r="O119" s="9">
        <f>YEAR(Table2[[#This Row],[Date of Joining]])</f>
        <v>2023</v>
      </c>
      <c r="P119" s="9" t="str">
        <f t="shared" ca="1" si="1"/>
        <v>3+ years</v>
      </c>
    </row>
    <row r="120" spans="1:16" x14ac:dyDescent="0.2">
      <c r="A120" s="3" t="s">
        <v>16</v>
      </c>
      <c r="B120" s="3" t="s">
        <v>133</v>
      </c>
      <c r="C120" s="4">
        <v>173529</v>
      </c>
      <c r="D120" s="5" t="s">
        <v>180</v>
      </c>
      <c r="E120" s="6" t="d">
        <v>2023-06-06</v>
      </c>
      <c r="F120" s="6"/>
      <c r="G120" s="7" t="s">
        <v>38</v>
      </c>
      <c r="H120" s="4" t="s">
        <v>86</v>
      </c>
      <c r="I120" s="4" t="s">
        <v>39</v>
      </c>
      <c r="J120" s="8" t="d">
        <v>2021-01-08</v>
      </c>
      <c r="K120" s="8" t="s">
        <v>23</v>
      </c>
      <c r="L120" s="5" t="s">
        <v>97</v>
      </c>
      <c r="M120" s="5" t="s">
        <v>49</v>
      </c>
      <c r="N120" s="5">
        <v>1.5</v>
      </c>
      <c r="O120" s="9">
        <f>YEAR(Table2[[#This Row],[Date of Joining]])</f>
        <v>2023</v>
      </c>
      <c r="P120" s="9" t="str">
        <f t="shared" ca="1" si="1"/>
        <v>3+ years</v>
      </c>
    </row>
    <row r="121" spans="1:16" x14ac:dyDescent="0.2">
      <c r="A121" s="3" t="s">
        <v>16</v>
      </c>
      <c r="B121" s="3" t="s">
        <v>133</v>
      </c>
      <c r="C121" s="4">
        <v>116633</v>
      </c>
      <c r="D121" s="5" t="s">
        <v>181</v>
      </c>
      <c r="E121" s="6" t="d">
        <v>2023-06-06</v>
      </c>
      <c r="F121" s="6"/>
      <c r="G121" s="7" t="s">
        <v>38</v>
      </c>
      <c r="H121" s="4" t="s">
        <v>86</v>
      </c>
      <c r="I121" s="4" t="s">
        <v>39</v>
      </c>
      <c r="J121" s="8" t="d">
        <v>2021-01-22</v>
      </c>
      <c r="K121" s="8" t="s">
        <v>23</v>
      </c>
      <c r="L121" s="5" t="s">
        <v>97</v>
      </c>
      <c r="M121" s="5" t="s">
        <v>49</v>
      </c>
      <c r="N121" s="5">
        <v>0.11</v>
      </c>
      <c r="O121" s="9">
        <f>YEAR(Table2[[#This Row],[Date of Joining]])</f>
        <v>2023</v>
      </c>
      <c r="P121" s="9" t="str">
        <f t="shared" ca="1" si="1"/>
        <v>3+ years</v>
      </c>
    </row>
    <row r="122" spans="1:16" x14ac:dyDescent="0.2">
      <c r="A122" s="3" t="s">
        <v>16</v>
      </c>
      <c r="B122" s="3" t="s">
        <v>133</v>
      </c>
      <c r="C122" s="4">
        <v>160990</v>
      </c>
      <c r="D122" s="5" t="s">
        <v>182</v>
      </c>
      <c r="E122" s="6" t="d">
        <v>2023-06-06</v>
      </c>
      <c r="F122" s="6"/>
      <c r="G122" s="7" t="s">
        <v>38</v>
      </c>
      <c r="H122" s="4" t="s">
        <v>86</v>
      </c>
      <c r="I122" s="4" t="s">
        <v>22</v>
      </c>
      <c r="J122" s="8" t="d">
        <v>2022-08-31</v>
      </c>
      <c r="K122" s="8" t="s">
        <v>23</v>
      </c>
      <c r="L122" s="5" t="s">
        <v>97</v>
      </c>
      <c r="M122" s="5" t="s">
        <v>49</v>
      </c>
      <c r="N122" s="5">
        <v>0</v>
      </c>
      <c r="O122" s="9">
        <f>YEAR(Table2[[#This Row],[Date of Joining]])</f>
        <v>2023</v>
      </c>
      <c r="P122" s="9" t="str">
        <f t="shared" ca="1" si="1"/>
        <v>3+ years</v>
      </c>
    </row>
    <row r="123" spans="1:16" x14ac:dyDescent="0.2">
      <c r="A123" s="3" t="s">
        <v>25</v>
      </c>
      <c r="B123" s="3"/>
      <c r="C123" s="4">
        <v>170513</v>
      </c>
      <c r="D123" s="5" t="s">
        <v>183</v>
      </c>
      <c r="E123" s="6" t="d">
        <v>2023-06-08</v>
      </c>
      <c r="F123" s="6" t="d">
        <v>2024-03-31</v>
      </c>
      <c r="G123" s="7" t="s">
        <v>38</v>
      </c>
      <c r="H123" s="4" t="s">
        <v>86</v>
      </c>
      <c r="I123" s="4" t="s">
        <v>39</v>
      </c>
      <c r="J123" s="8" t="d">
        <v>2022-05-31</v>
      </c>
      <c r="K123" s="8" t="s">
        <v>23</v>
      </c>
      <c r="L123" s="5" t="s">
        <v>29</v>
      </c>
      <c r="M123" s="5" t="s">
        <v>24</v>
      </c>
      <c r="N123" s="5">
        <v>7</v>
      </c>
      <c r="O123" s="9">
        <f>YEAR(Table2[[#This Row],[Date of Joining]])</f>
        <v>2023</v>
      </c>
      <c r="P123" s="9" t="str">
        <f t="shared" ca="1" si="1"/>
        <v>3+ years</v>
      </c>
    </row>
    <row r="124" spans="1:16" x14ac:dyDescent="0.2">
      <c r="A124" s="3" t="s">
        <v>16</v>
      </c>
      <c r="B124" s="3"/>
      <c r="C124" s="4">
        <v>167822</v>
      </c>
      <c r="D124" s="5" t="s">
        <v>184</v>
      </c>
      <c r="E124" s="6" t="d">
        <v>2023-06-29</v>
      </c>
      <c r="F124" s="6"/>
      <c r="G124" s="7" t="s">
        <v>38</v>
      </c>
      <c r="H124" s="4" t="s">
        <v>86</v>
      </c>
      <c r="I124" s="4" t="s">
        <v>22</v>
      </c>
      <c r="J124" s="8" t="d">
        <v>2022-07-31</v>
      </c>
      <c r="K124" s="8" t="s">
        <v>28</v>
      </c>
      <c r="L124" s="5" t="s">
        <v>97</v>
      </c>
      <c r="M124" s="5" t="s">
        <v>49</v>
      </c>
      <c r="N124" s="5">
        <v>7</v>
      </c>
      <c r="O124" s="9">
        <f>YEAR(Table2[[#This Row],[Date of Joining]])</f>
        <v>2023</v>
      </c>
      <c r="P124" s="9" t="str">
        <f t="shared" ca="1" si="1"/>
        <v>3+ years</v>
      </c>
    </row>
    <row r="125" spans="1:16" x14ac:dyDescent="0.2">
      <c r="A125" s="3" t="s">
        <v>16</v>
      </c>
      <c r="B125" s="3"/>
      <c r="C125" s="4">
        <v>161037</v>
      </c>
      <c r="D125" s="5" t="s">
        <v>185</v>
      </c>
      <c r="E125" s="6" t="d">
        <v>2023-07-04</v>
      </c>
      <c r="F125" s="6"/>
      <c r="G125" s="7" t="s">
        <v>38</v>
      </c>
      <c r="H125" s="4" t="s">
        <v>86</v>
      </c>
      <c r="I125" s="4" t="s">
        <v>39</v>
      </c>
      <c r="J125" s="8" t="d">
        <v>2022-03-09</v>
      </c>
      <c r="K125" s="8" t="s">
        <v>23</v>
      </c>
      <c r="L125" s="5" t="s">
        <v>97</v>
      </c>
      <c r="M125" s="5" t="s">
        <v>24</v>
      </c>
      <c r="N125" s="5">
        <v>5</v>
      </c>
      <c r="O125" s="9">
        <f>YEAR(Table2[[#This Row],[Date of Joining]])</f>
        <v>2023</v>
      </c>
      <c r="P125" s="9" t="str">
        <f t="shared" ca="1" si="1"/>
        <v>2+ years</v>
      </c>
    </row>
    <row r="126" spans="1:16" x14ac:dyDescent="0.2">
      <c r="A126" s="3" t="s">
        <v>16</v>
      </c>
      <c r="B126" s="3"/>
      <c r="C126" s="4">
        <v>153255</v>
      </c>
      <c r="D126" s="5" t="s">
        <v>186</v>
      </c>
      <c r="E126" s="6" t="d">
        <v>2023-07-13</v>
      </c>
      <c r="F126" s="6"/>
      <c r="G126" s="7" t="s">
        <v>38</v>
      </c>
      <c r="H126" s="4" t="s">
        <v>86</v>
      </c>
      <c r="I126" s="4" t="s">
        <v>39</v>
      </c>
      <c r="J126" s="8" t="d">
        <v>2022-01-29</v>
      </c>
      <c r="K126" s="8" t="s">
        <v>23</v>
      </c>
      <c r="L126" s="5" t="s">
        <v>97</v>
      </c>
      <c r="M126" s="5" t="s">
        <v>35</v>
      </c>
      <c r="N126" s="5">
        <v>3.8</v>
      </c>
      <c r="O126" s="9">
        <f>YEAR(Table2[[#This Row],[Date of Joining]])</f>
        <v>2023</v>
      </c>
      <c r="P126" s="9" t="str">
        <f t="shared" ca="1" si="1"/>
        <v>2+ years</v>
      </c>
    </row>
    <row r="127" spans="1:16" x14ac:dyDescent="0.2">
      <c r="A127" s="3" t="s">
        <v>16</v>
      </c>
      <c r="B127" s="3"/>
      <c r="C127" s="4">
        <v>123179</v>
      </c>
      <c r="D127" s="5" t="s">
        <v>187</v>
      </c>
      <c r="E127" s="6" t="d">
        <v>2023-07-18</v>
      </c>
      <c r="F127" s="6"/>
      <c r="G127" s="7" t="s">
        <v>38</v>
      </c>
      <c r="H127" s="4" t="s">
        <v>86</v>
      </c>
      <c r="I127" s="4" t="s">
        <v>39</v>
      </c>
      <c r="J127" s="8" t="d">
        <v>2022-02-20</v>
      </c>
      <c r="K127" s="8" t="s">
        <v>23</v>
      </c>
      <c r="L127" s="5" t="s">
        <v>29</v>
      </c>
      <c r="M127" s="5" t="s">
        <v>49</v>
      </c>
      <c r="N127" s="5">
        <v>6.5</v>
      </c>
      <c r="O127" s="9">
        <f>YEAR(Table2[[#This Row],[Date of Joining]])</f>
        <v>2023</v>
      </c>
      <c r="P127" s="9" t="str">
        <f t="shared" ca="1" si="1"/>
        <v>2+ years</v>
      </c>
    </row>
    <row r="128" spans="1:16" x14ac:dyDescent="0.2">
      <c r="A128" s="3" t="s">
        <v>16</v>
      </c>
      <c r="B128" s="3"/>
      <c r="C128" s="4">
        <v>189554</v>
      </c>
      <c r="D128" s="5" t="s">
        <v>188</v>
      </c>
      <c r="E128" s="6" t="d">
        <v>2023-07-27</v>
      </c>
      <c r="F128" s="6"/>
      <c r="G128" s="7" t="s">
        <v>38</v>
      </c>
      <c r="H128" s="4" t="s">
        <v>86</v>
      </c>
      <c r="I128" s="4" t="s">
        <v>39</v>
      </c>
      <c r="J128" s="8" t="d">
        <v>2022-07-24</v>
      </c>
      <c r="K128" s="8" t="s">
        <v>28</v>
      </c>
      <c r="L128" s="5" t="s">
        <v>29</v>
      </c>
      <c r="M128" s="5" t="s">
        <v>49</v>
      </c>
      <c r="N128" s="5">
        <v>8</v>
      </c>
      <c r="O128" s="9">
        <f>YEAR(Table2[[#This Row],[Date of Joining]])</f>
        <v>2023</v>
      </c>
      <c r="P128" s="9" t="str">
        <f t="shared" ca="1" si="1"/>
        <v>2+ years</v>
      </c>
    </row>
    <row r="129" spans="1:16" x14ac:dyDescent="0.2">
      <c r="A129" s="3" t="s">
        <v>16</v>
      </c>
      <c r="B129" s="3"/>
      <c r="C129" s="4">
        <v>186786</v>
      </c>
      <c r="D129" s="5" t="s">
        <v>189</v>
      </c>
      <c r="E129" s="6" t="d">
        <v>2023-08-01</v>
      </c>
      <c r="F129" s="6"/>
      <c r="G129" s="7" t="s">
        <v>20</v>
      </c>
      <c r="H129" s="4" t="s">
        <v>86</v>
      </c>
      <c r="I129" s="4" t="s">
        <v>39</v>
      </c>
      <c r="J129" s="8" t="d">
        <v>2022-09-15</v>
      </c>
      <c r="K129" s="8" t="s">
        <v>23</v>
      </c>
      <c r="L129" s="5" t="s">
        <v>97</v>
      </c>
      <c r="M129" s="5" t="s">
        <v>62</v>
      </c>
      <c r="N129" s="5">
        <v>1.5</v>
      </c>
      <c r="O129" s="9">
        <f>YEAR(Table2[[#This Row],[Date of Joining]])</f>
        <v>2023</v>
      </c>
      <c r="P129" s="9" t="str">
        <f t="shared" ca="1" si="1"/>
        <v>2+ years</v>
      </c>
    </row>
    <row r="130" spans="1:16" x14ac:dyDescent="0.2">
      <c r="A130" s="3" t="s">
        <v>16</v>
      </c>
      <c r="B130" s="3"/>
      <c r="C130" s="4">
        <v>186818</v>
      </c>
      <c r="D130" s="5" t="s">
        <v>190</v>
      </c>
      <c r="E130" s="6" t="d">
        <v>2023-08-03</v>
      </c>
      <c r="F130" s="6"/>
      <c r="G130" s="7" t="s">
        <v>20</v>
      </c>
      <c r="H130" s="4" t="s">
        <v>86</v>
      </c>
      <c r="I130" s="4" t="s">
        <v>22</v>
      </c>
      <c r="J130" s="8" t="d">
        <v>2022-05-15</v>
      </c>
      <c r="K130" s="8" t="s">
        <v>23</v>
      </c>
      <c r="L130" s="5" t="s">
        <v>29</v>
      </c>
      <c r="M130" s="5" t="s">
        <v>62</v>
      </c>
      <c r="N130" s="5">
        <v>7</v>
      </c>
      <c r="O130" s="9">
        <f>YEAR(Table2[[#This Row],[Date of Joining]])</f>
        <v>2023</v>
      </c>
      <c r="P130" s="9" t="str">
        <f t="shared" ref="P130:P172" ca="1" si="2">IF(DATEDIF(E130,TODAY(),"Y")&gt;=5,"5+ years",
IF(DATEDIF(E130,TODAY(),"Y")&gt;=4,"4+ years",
IF(DATEDIF(E130,TODAY(),"Y")&gt;=3,"3+ years",
IF(DATEDIF(E130,TODAY(),"Y")&gt;=2,"2+ years",
IF(DATEDIF(E130,TODAY(),"Y")&gt;=1,"1+ years","&lt;1 year")))))</f>
        <v>2+ years</v>
      </c>
    </row>
    <row r="131" spans="1:16" x14ac:dyDescent="0.2">
      <c r="A131" s="3" t="s">
        <v>16</v>
      </c>
      <c r="B131" s="3"/>
      <c r="C131" s="4">
        <v>147963</v>
      </c>
      <c r="D131" s="5" t="s">
        <v>191</v>
      </c>
      <c r="E131" s="6" t="d">
        <v>2023-08-16</v>
      </c>
      <c r="F131" s="6"/>
      <c r="G131" s="7" t="s">
        <v>38</v>
      </c>
      <c r="H131" s="4" t="s">
        <v>86</v>
      </c>
      <c r="I131" s="4" t="s">
        <v>39</v>
      </c>
      <c r="J131" s="8" t="d">
        <v>2022-02-28</v>
      </c>
      <c r="K131" s="8" t="s">
        <v>28</v>
      </c>
      <c r="L131" s="5" t="s">
        <v>29</v>
      </c>
      <c r="M131" s="5" t="s">
        <v>24</v>
      </c>
      <c r="N131" s="5">
        <v>15</v>
      </c>
      <c r="O131" s="9">
        <f>YEAR(Table2[[#This Row],[Date of Joining]])</f>
        <v>2023</v>
      </c>
      <c r="P131" s="9" t="str">
        <f t="shared" ca="1" si="2"/>
        <v>2+ years</v>
      </c>
    </row>
    <row r="132" spans="1:16" x14ac:dyDescent="0.2">
      <c r="A132" s="3" t="s">
        <v>16</v>
      </c>
      <c r="B132" s="3"/>
      <c r="C132" s="4">
        <v>150614</v>
      </c>
      <c r="D132" s="5" t="s">
        <v>192</v>
      </c>
      <c r="E132" s="6" t="d">
        <v>2023-09-12</v>
      </c>
      <c r="F132" s="6"/>
      <c r="G132" s="7" t="s">
        <v>38</v>
      </c>
      <c r="H132" s="4" t="s">
        <v>86</v>
      </c>
      <c r="I132" s="4" t="s">
        <v>22</v>
      </c>
      <c r="J132" s="8" t="d">
        <v>2022-09-26</v>
      </c>
      <c r="K132" s="8" t="s">
        <v>28</v>
      </c>
      <c r="L132" s="5" t="s">
        <v>29</v>
      </c>
      <c r="M132" s="5" t="s">
        <v>44</v>
      </c>
      <c r="N132" s="5">
        <v>10.7</v>
      </c>
      <c r="O132" s="9">
        <f>YEAR(Table2[[#This Row],[Date of Joining]])</f>
        <v>2023</v>
      </c>
      <c r="P132" s="9" t="str">
        <f t="shared" ca="1" si="2"/>
        <v>2+ years</v>
      </c>
    </row>
    <row r="133" spans="1:16" x14ac:dyDescent="0.2">
      <c r="A133" s="3" t="s">
        <v>16</v>
      </c>
      <c r="B133" s="3"/>
      <c r="C133" s="4">
        <v>137151</v>
      </c>
      <c r="D133" s="5" t="s">
        <v>193</v>
      </c>
      <c r="E133" s="6" t="d">
        <v>2023-09-26</v>
      </c>
      <c r="F133" s="6"/>
      <c r="G133" s="7" t="s">
        <v>57</v>
      </c>
      <c r="H133" s="4" t="s">
        <v>86</v>
      </c>
      <c r="I133" s="4" t="s">
        <v>39</v>
      </c>
      <c r="J133" s="8" t="d">
        <v>2022-12-22</v>
      </c>
      <c r="K133" s="8" t="s">
        <v>23</v>
      </c>
      <c r="L133" s="5" t="s">
        <v>97</v>
      </c>
      <c r="M133" s="5" t="s">
        <v>62</v>
      </c>
      <c r="N133" s="5">
        <v>2</v>
      </c>
      <c r="O133" s="9">
        <f>YEAR(Table2[[#This Row],[Date of Joining]])</f>
        <v>2023</v>
      </c>
      <c r="P133" s="9" t="str">
        <f t="shared" ca="1" si="2"/>
        <v>2+ years</v>
      </c>
    </row>
    <row r="134" spans="1:16" x14ac:dyDescent="0.2">
      <c r="A134" s="3" t="s">
        <v>16</v>
      </c>
      <c r="B134" s="3" t="s">
        <v>133</v>
      </c>
      <c r="C134" s="4">
        <v>173998</v>
      </c>
      <c r="D134" s="5" t="s">
        <v>194</v>
      </c>
      <c r="E134" s="6" t="d">
        <v>2023-10-28</v>
      </c>
      <c r="F134" s="6"/>
      <c r="G134" s="7" t="s">
        <v>38</v>
      </c>
      <c r="H134" s="4" t="s">
        <v>86</v>
      </c>
      <c r="I134" s="4" t="s">
        <v>22</v>
      </c>
      <c r="J134" s="8" t="d">
        <v>2021-03-16</v>
      </c>
      <c r="K134" s="8" t="s">
        <v>23</v>
      </c>
      <c r="L134" s="5" t="s">
        <v>29</v>
      </c>
      <c r="M134" s="5" t="s">
        <v>30</v>
      </c>
      <c r="N134" s="5">
        <v>5.3</v>
      </c>
      <c r="O134" s="9">
        <f>YEAR(Table2[[#This Row],[Date of Joining]])</f>
        <v>2023</v>
      </c>
      <c r="P134" s="9" t="str">
        <f t="shared" ca="1" si="2"/>
        <v>2+ years</v>
      </c>
    </row>
    <row r="135" spans="1:16" x14ac:dyDescent="0.2">
      <c r="A135" s="3" t="s">
        <v>16</v>
      </c>
      <c r="B135" s="3" t="s">
        <v>133</v>
      </c>
      <c r="C135" s="4">
        <v>103925</v>
      </c>
      <c r="D135" s="5" t="s">
        <v>195</v>
      </c>
      <c r="E135" s="6" t="d">
        <v>2023-11-30</v>
      </c>
      <c r="F135" s="6"/>
      <c r="G135" s="7" t="s">
        <v>38</v>
      </c>
      <c r="H135" s="4" t="s">
        <v>86</v>
      </c>
      <c r="I135" s="4" t="s">
        <v>22</v>
      </c>
      <c r="J135" s="8" t="d">
        <v>2021-05-12</v>
      </c>
      <c r="K135" s="8" t="s">
        <v>28</v>
      </c>
      <c r="L135" s="5" t="s">
        <v>97</v>
      </c>
      <c r="M135" s="5" t="s">
        <v>40</v>
      </c>
      <c r="N135" s="5">
        <v>4.5</v>
      </c>
      <c r="O135" s="9">
        <f>YEAR(Table2[[#This Row],[Date of Joining]])</f>
        <v>2023</v>
      </c>
      <c r="P135" s="9" t="str">
        <f t="shared" ca="1" si="2"/>
        <v>2+ years</v>
      </c>
    </row>
    <row r="136" spans="1:16" x14ac:dyDescent="0.2">
      <c r="A136" s="3" t="s">
        <v>16</v>
      </c>
      <c r="B136" s="3"/>
      <c r="C136" s="4">
        <v>118694</v>
      </c>
      <c r="D136" s="5" t="s">
        <v>196</v>
      </c>
      <c r="E136" s="6" t="d">
        <v>2023-12-05</v>
      </c>
      <c r="F136" s="6"/>
      <c r="G136" s="7" t="s">
        <v>38</v>
      </c>
      <c r="H136" s="4" t="s">
        <v>86</v>
      </c>
      <c r="I136" s="4" t="s">
        <v>22</v>
      </c>
      <c r="J136" s="8" t="d">
        <v>2022-01-20</v>
      </c>
      <c r="K136" s="8" t="s">
        <v>23</v>
      </c>
      <c r="L136" s="5" t="s">
        <v>97</v>
      </c>
      <c r="M136" s="5" t="s">
        <v>40</v>
      </c>
      <c r="N136" s="5">
        <v>3.5</v>
      </c>
      <c r="O136" s="9">
        <f>YEAR(Table2[[#This Row],[Date of Joining]])</f>
        <v>2023</v>
      </c>
      <c r="P136" s="9" t="str">
        <f t="shared" ca="1" si="2"/>
        <v>2+ years</v>
      </c>
    </row>
    <row r="137" spans="1:16" x14ac:dyDescent="0.2">
      <c r="A137" s="3" t="s">
        <v>16</v>
      </c>
      <c r="B137" s="3"/>
      <c r="C137" s="4">
        <v>195849</v>
      </c>
      <c r="D137" s="5" t="s">
        <v>197</v>
      </c>
      <c r="E137" s="6" t="d">
        <v>2023-12-05</v>
      </c>
      <c r="F137" s="6"/>
      <c r="G137" s="7" t="s">
        <v>38</v>
      </c>
      <c r="H137" s="4" t="s">
        <v>86</v>
      </c>
      <c r="I137" s="4" t="s">
        <v>39</v>
      </c>
      <c r="J137" s="8" t="d">
        <v>2022-08-13</v>
      </c>
      <c r="K137" s="8" t="s">
        <v>23</v>
      </c>
      <c r="L137" s="5" t="s">
        <v>97</v>
      </c>
      <c r="M137" s="5" t="s">
        <v>40</v>
      </c>
      <c r="N137" s="5">
        <v>1.5</v>
      </c>
      <c r="O137" s="9">
        <f>YEAR(Table2[[#This Row],[Date of Joining]])</f>
        <v>2023</v>
      </c>
      <c r="P137" s="9" t="str">
        <f t="shared" ca="1" si="2"/>
        <v>2+ years</v>
      </c>
    </row>
    <row r="138" spans="1:16" x14ac:dyDescent="0.2">
      <c r="A138" s="3" t="s">
        <v>16</v>
      </c>
      <c r="B138" s="3"/>
      <c r="C138" s="4">
        <v>182665</v>
      </c>
      <c r="D138" s="5" t="s">
        <v>198</v>
      </c>
      <c r="E138" s="6" t="d">
        <v>2023-12-07</v>
      </c>
      <c r="F138" s="6"/>
      <c r="G138" s="7" t="s">
        <v>38</v>
      </c>
      <c r="H138" s="4" t="s">
        <v>86</v>
      </c>
      <c r="I138" s="4" t="s">
        <v>39</v>
      </c>
      <c r="J138" s="8" t="d">
        <v>2022-03-02</v>
      </c>
      <c r="K138" s="8" t="s">
        <v>28</v>
      </c>
      <c r="L138" s="5" t="s">
        <v>29</v>
      </c>
      <c r="M138" s="5" t="s">
        <v>35</v>
      </c>
      <c r="N138" s="5">
        <v>10.9</v>
      </c>
      <c r="O138" s="9">
        <f>YEAR(Table2[[#This Row],[Date of Joining]])</f>
        <v>2023</v>
      </c>
      <c r="P138" s="9" t="str">
        <f t="shared" ca="1" si="2"/>
        <v>2+ years</v>
      </c>
    </row>
    <row r="139" spans="1:16" x14ac:dyDescent="0.2">
      <c r="A139" s="3" t="s">
        <v>16</v>
      </c>
      <c r="B139" s="3"/>
      <c r="C139" s="4">
        <v>151067</v>
      </c>
      <c r="D139" s="5" t="s">
        <v>52</v>
      </c>
      <c r="E139" s="6" t="d">
        <v>2023-12-12</v>
      </c>
      <c r="F139" s="6"/>
      <c r="G139" s="5" t="s">
        <v>43</v>
      </c>
      <c r="H139" s="4" t="s">
        <v>86</v>
      </c>
      <c r="I139" s="4" t="s">
        <v>39</v>
      </c>
      <c r="J139" s="8" t="d">
        <v>2022-07-22</v>
      </c>
      <c r="K139" s="8" t="s">
        <v>28</v>
      </c>
      <c r="L139" s="5" t="s">
        <v>97</v>
      </c>
      <c r="M139" s="5" t="s">
        <v>49</v>
      </c>
      <c r="N139" s="5">
        <v>2.8</v>
      </c>
      <c r="O139" s="9">
        <f>YEAR(Table2[[#This Row],[Date of Joining]])</f>
        <v>2023</v>
      </c>
      <c r="P139" s="9" t="str">
        <f t="shared" ca="1" si="2"/>
        <v>2+ years</v>
      </c>
    </row>
    <row r="140" spans="1:16" x14ac:dyDescent="0.2">
      <c r="A140" s="3" t="s">
        <v>16</v>
      </c>
      <c r="B140" s="3" t="s">
        <v>133</v>
      </c>
      <c r="C140" s="4">
        <v>188212</v>
      </c>
      <c r="D140" s="5" t="s">
        <v>199</v>
      </c>
      <c r="E140" s="6" t="d">
        <v>2023-12-14</v>
      </c>
      <c r="F140" s="6"/>
      <c r="G140" s="7" t="s">
        <v>38</v>
      </c>
      <c r="H140" s="4" t="s">
        <v>86</v>
      </c>
      <c r="I140" s="4" t="s">
        <v>22</v>
      </c>
      <c r="J140" s="8" t="d">
        <v>2021-12-12</v>
      </c>
      <c r="K140" s="8" t="s">
        <v>28</v>
      </c>
      <c r="L140" s="5" t="s">
        <v>29</v>
      </c>
      <c r="M140" s="5" t="s">
        <v>35</v>
      </c>
      <c r="N140" s="5">
        <v>7.5</v>
      </c>
      <c r="O140" s="9">
        <f>YEAR(Table2[[#This Row],[Date of Joining]])</f>
        <v>2023</v>
      </c>
      <c r="P140" s="9" t="str">
        <f t="shared" ca="1" si="2"/>
        <v>2+ years</v>
      </c>
    </row>
    <row r="141" spans="1:16" x14ac:dyDescent="0.2">
      <c r="A141" s="3" t="s">
        <v>16</v>
      </c>
      <c r="B141" s="3" t="s">
        <v>133</v>
      </c>
      <c r="C141" s="4">
        <v>188527</v>
      </c>
      <c r="D141" s="5" t="s">
        <v>200</v>
      </c>
      <c r="E141" s="6" t="d">
        <v>2023-12-14</v>
      </c>
      <c r="F141" s="6"/>
      <c r="G141" s="7" t="s">
        <v>38</v>
      </c>
      <c r="H141" s="4" t="s">
        <v>86</v>
      </c>
      <c r="I141" s="4" t="s">
        <v>39</v>
      </c>
      <c r="J141" s="8" t="d">
        <v>2022-05-20</v>
      </c>
      <c r="K141" s="8" t="s">
        <v>23</v>
      </c>
      <c r="L141" s="5" t="s">
        <v>97</v>
      </c>
      <c r="M141" s="5" t="s">
        <v>40</v>
      </c>
      <c r="N141" s="5">
        <v>10</v>
      </c>
      <c r="O141" s="9">
        <f>YEAR(Table2[[#This Row],[Date of Joining]])</f>
        <v>2023</v>
      </c>
      <c r="P141" s="9" t="str">
        <f t="shared" ca="1" si="2"/>
        <v>2+ years</v>
      </c>
    </row>
    <row r="142" spans="1:16" x14ac:dyDescent="0.2">
      <c r="A142" s="3" t="s">
        <v>16</v>
      </c>
      <c r="B142" s="3"/>
      <c r="C142" s="4">
        <v>151539</v>
      </c>
      <c r="D142" s="5" t="s">
        <v>201</v>
      </c>
      <c r="E142" s="6" t="d">
        <v>2023-12-19</v>
      </c>
      <c r="F142" s="6"/>
      <c r="G142" s="7" t="s">
        <v>38</v>
      </c>
      <c r="H142" s="4" t="s">
        <v>86</v>
      </c>
      <c r="I142" s="4" t="s">
        <v>39</v>
      </c>
      <c r="J142" s="8" t="d">
        <v>2022-02-21</v>
      </c>
      <c r="K142" s="8" t="s">
        <v>23</v>
      </c>
      <c r="L142" s="5" t="s">
        <v>97</v>
      </c>
      <c r="M142" s="5" t="s">
        <v>40</v>
      </c>
      <c r="N142" s="5">
        <v>0</v>
      </c>
      <c r="O142" s="9">
        <f>YEAR(Table2[[#This Row],[Date of Joining]])</f>
        <v>2023</v>
      </c>
      <c r="P142" s="9" t="str">
        <f t="shared" ca="1" si="2"/>
        <v>2+ years</v>
      </c>
    </row>
    <row r="143" spans="1:16" x14ac:dyDescent="0.2">
      <c r="A143" s="3" t="s">
        <v>16</v>
      </c>
      <c r="B143" s="3"/>
      <c r="C143" s="4">
        <v>148895</v>
      </c>
      <c r="D143" s="5" t="s">
        <v>202</v>
      </c>
      <c r="E143" s="6" t="d">
        <v>2023-12-28</v>
      </c>
      <c r="F143" s="6"/>
      <c r="G143" s="5" t="s">
        <v>43</v>
      </c>
      <c r="H143" s="4" t="s">
        <v>86</v>
      </c>
      <c r="I143" s="4" t="s">
        <v>39</v>
      </c>
      <c r="J143" s="8" t="d">
        <v>2022-04-17</v>
      </c>
      <c r="K143" s="8" t="s">
        <v>23</v>
      </c>
      <c r="L143" s="5" t="s">
        <v>97</v>
      </c>
      <c r="M143" s="5" t="s">
        <v>49</v>
      </c>
      <c r="N143" s="5">
        <v>0</v>
      </c>
      <c r="O143" s="9">
        <f>YEAR(Table2[[#This Row],[Date of Joining]])</f>
        <v>2023</v>
      </c>
      <c r="P143" s="9" t="str">
        <f t="shared" ca="1" si="2"/>
        <v>2+ years</v>
      </c>
    </row>
    <row r="144" spans="1:16" x14ac:dyDescent="0.2">
      <c r="A144" s="3" t="s">
        <v>16</v>
      </c>
      <c r="B144" s="3" t="s">
        <v>133</v>
      </c>
      <c r="C144" s="4">
        <v>114477</v>
      </c>
      <c r="D144" s="5" t="s">
        <v>203</v>
      </c>
      <c r="E144" s="6" t="d">
        <v>2024-01-04</v>
      </c>
      <c r="F144" s="6"/>
      <c r="G144" s="7" t="s">
        <v>38</v>
      </c>
      <c r="H144" s="4" t="s">
        <v>86</v>
      </c>
      <c r="I144" s="4" t="s">
        <v>22</v>
      </c>
      <c r="J144" s="8" t="d">
        <v>2021-07-09</v>
      </c>
      <c r="K144" s="8" t="s">
        <v>23</v>
      </c>
      <c r="L144" s="5" t="s">
        <v>97</v>
      </c>
      <c r="M144" s="5" t="s">
        <v>40</v>
      </c>
      <c r="N144" s="5">
        <v>1.6</v>
      </c>
      <c r="O144" s="9">
        <f>YEAR(Table2[[#This Row],[Date of Joining]])</f>
        <v>2024</v>
      </c>
      <c r="P144" s="9" t="str">
        <f t="shared" ca="1" si="2"/>
        <v>2+ years</v>
      </c>
    </row>
    <row r="145" spans="1:16" x14ac:dyDescent="0.2">
      <c r="A145" s="3" t="s">
        <v>16</v>
      </c>
      <c r="B145" s="3"/>
      <c r="C145" s="4">
        <v>170085</v>
      </c>
      <c r="D145" s="5" t="s">
        <v>204</v>
      </c>
      <c r="E145" s="6" t="d">
        <v>2024-01-11</v>
      </c>
      <c r="F145" s="6"/>
      <c r="G145" s="7" t="s">
        <v>38</v>
      </c>
      <c r="H145" s="4" t="s">
        <v>86</v>
      </c>
      <c r="I145" s="4" t="s">
        <v>22</v>
      </c>
      <c r="J145" s="8" t="d">
        <v>2023-08-06</v>
      </c>
      <c r="K145" s="8" t="s">
        <v>23</v>
      </c>
      <c r="L145" s="5" t="s">
        <v>97</v>
      </c>
      <c r="M145" s="5" t="s">
        <v>40</v>
      </c>
      <c r="N145" s="5">
        <v>3.5</v>
      </c>
      <c r="O145" s="9">
        <f>YEAR(Table2[[#This Row],[Date of Joining]])</f>
        <v>2024</v>
      </c>
      <c r="P145" s="9" t="str">
        <f t="shared" ca="1" si="2"/>
        <v>2+ years</v>
      </c>
    </row>
    <row r="146" spans="1:16" x14ac:dyDescent="0.2">
      <c r="A146" s="3" t="s">
        <v>16</v>
      </c>
      <c r="B146" s="3"/>
      <c r="C146" s="4">
        <v>148355</v>
      </c>
      <c r="D146" s="5" t="s">
        <v>205</v>
      </c>
      <c r="E146" s="6" t="d">
        <v>2024-01-11</v>
      </c>
      <c r="F146" s="6"/>
      <c r="G146" s="7" t="s">
        <v>20</v>
      </c>
      <c r="H146" s="4" t="s">
        <v>86</v>
      </c>
      <c r="I146" s="4" t="s">
        <v>22</v>
      </c>
      <c r="J146" s="8" t="d">
        <v>2021-08-25</v>
      </c>
      <c r="K146" s="8" t="s">
        <v>23</v>
      </c>
      <c r="L146" s="5" t="s">
        <v>97</v>
      </c>
      <c r="M146" s="5" t="s">
        <v>49</v>
      </c>
      <c r="N146" s="5">
        <v>14</v>
      </c>
      <c r="O146" s="9">
        <f>YEAR(Table2[[#This Row],[Date of Joining]])</f>
        <v>2024</v>
      </c>
      <c r="P146" s="9" t="str">
        <f t="shared" ca="1" si="2"/>
        <v>2+ years</v>
      </c>
    </row>
    <row r="147" spans="1:16" x14ac:dyDescent="0.2">
      <c r="A147" s="3" t="s">
        <v>16</v>
      </c>
      <c r="B147" s="3"/>
      <c r="C147" s="4">
        <v>132724</v>
      </c>
      <c r="D147" s="5" t="s">
        <v>206</v>
      </c>
      <c r="E147" s="6" t="d">
        <v>2024-01-23</v>
      </c>
      <c r="F147" s="6"/>
      <c r="G147" s="5" t="s">
        <v>52</v>
      </c>
      <c r="H147" s="4" t="s">
        <v>86</v>
      </c>
      <c r="I147" s="4" t="s">
        <v>22</v>
      </c>
      <c r="J147" s="8" t="d">
        <v>2023-04-05</v>
      </c>
      <c r="K147" s="8" t="s">
        <v>23</v>
      </c>
      <c r="L147" s="5" t="s">
        <v>97</v>
      </c>
      <c r="M147" s="5" t="s">
        <v>40</v>
      </c>
      <c r="N147" s="5">
        <v>0.6</v>
      </c>
      <c r="O147" s="9">
        <f>YEAR(Table2[[#This Row],[Date of Joining]])</f>
        <v>2024</v>
      </c>
      <c r="P147" s="9" t="str">
        <f t="shared" ca="1" si="2"/>
        <v>2+ years</v>
      </c>
    </row>
    <row r="148" spans="1:16" x14ac:dyDescent="0.2">
      <c r="A148" s="3" t="s">
        <v>16</v>
      </c>
      <c r="B148" s="3"/>
      <c r="C148" s="4">
        <v>136024</v>
      </c>
      <c r="D148" s="5" t="s">
        <v>207</v>
      </c>
      <c r="E148" s="6" t="d">
        <v>2024-01-23</v>
      </c>
      <c r="F148" s="6"/>
      <c r="G148" s="7" t="s">
        <v>57</v>
      </c>
      <c r="H148" s="4" t="s">
        <v>86</v>
      </c>
      <c r="I148" s="4" t="s">
        <v>22</v>
      </c>
      <c r="J148" s="8" t="d">
        <v>2021-11-24</v>
      </c>
      <c r="K148" s="8" t="s">
        <v>23</v>
      </c>
      <c r="L148" s="5" t="s">
        <v>89</v>
      </c>
      <c r="M148" s="5" t="s">
        <v>49</v>
      </c>
      <c r="N148" s="5">
        <v>14</v>
      </c>
      <c r="O148" s="9">
        <f>YEAR(Table2[[#This Row],[Date of Joining]])</f>
        <v>2024</v>
      </c>
      <c r="P148" s="9" t="str">
        <f t="shared" ca="1" si="2"/>
        <v>2+ years</v>
      </c>
    </row>
    <row r="149" spans="1:16" x14ac:dyDescent="0.2">
      <c r="A149" s="3" t="s">
        <v>16</v>
      </c>
      <c r="B149" s="3" t="s">
        <v>133</v>
      </c>
      <c r="C149" s="4">
        <v>186654</v>
      </c>
      <c r="D149" s="5" t="s">
        <v>208</v>
      </c>
      <c r="E149" s="6" t="d">
        <v>2024-02-01</v>
      </c>
      <c r="F149" s="6"/>
      <c r="G149" s="7" t="s">
        <v>38</v>
      </c>
      <c r="H149" s="4" t="s">
        <v>86</v>
      </c>
      <c r="I149" s="4" t="s">
        <v>39</v>
      </c>
      <c r="J149" s="8" t="d">
        <v>2022-05-27</v>
      </c>
      <c r="K149" s="8" t="s">
        <v>23</v>
      </c>
      <c r="L149" s="5" t="s">
        <v>97</v>
      </c>
      <c r="M149" s="5" t="s">
        <v>49</v>
      </c>
      <c r="N149" s="5">
        <v>3.3</v>
      </c>
      <c r="O149" s="9">
        <f>YEAR(Table2[[#This Row],[Date of Joining]])</f>
        <v>2024</v>
      </c>
      <c r="P149" s="9" t="str">
        <f t="shared" ca="1" si="2"/>
        <v>2+ years</v>
      </c>
    </row>
    <row r="150" spans="1:16" x14ac:dyDescent="0.2">
      <c r="A150" s="3" t="s">
        <v>16</v>
      </c>
      <c r="B150" s="3"/>
      <c r="C150" s="4">
        <v>140505</v>
      </c>
      <c r="D150" s="5" t="s">
        <v>209</v>
      </c>
      <c r="E150" s="6" t="d">
        <v>2024-02-01</v>
      </c>
      <c r="F150" s="6"/>
      <c r="G150" s="7" t="s">
        <v>20</v>
      </c>
      <c r="H150" s="4" t="s">
        <v>86</v>
      </c>
      <c r="I150" s="4" t="s">
        <v>39</v>
      </c>
      <c r="J150" s="8" t="d">
        <v>2021-11-04</v>
      </c>
      <c r="K150" s="8" t="s">
        <v>23</v>
      </c>
      <c r="L150" s="5" t="s">
        <v>97</v>
      </c>
      <c r="M150" s="5" t="s">
        <v>49</v>
      </c>
      <c r="N150" s="5">
        <v>13</v>
      </c>
      <c r="O150" s="9">
        <f>YEAR(Table2[[#This Row],[Date of Joining]])</f>
        <v>2024</v>
      </c>
      <c r="P150" s="9" t="str">
        <f t="shared" ca="1" si="2"/>
        <v>2+ years</v>
      </c>
    </row>
    <row r="151" spans="1:16" x14ac:dyDescent="0.2">
      <c r="A151" s="3" t="s">
        <v>16</v>
      </c>
      <c r="B151" s="3"/>
      <c r="C151" s="4">
        <v>166500</v>
      </c>
      <c r="D151" s="5" t="s">
        <v>210</v>
      </c>
      <c r="E151" s="6" t="d">
        <v>2024-02-06</v>
      </c>
      <c r="F151" s="6"/>
      <c r="G151" s="7" t="s">
        <v>38</v>
      </c>
      <c r="H151" s="4" t="s">
        <v>86</v>
      </c>
      <c r="I151" s="4" t="s">
        <v>39</v>
      </c>
      <c r="J151" s="8" t="d">
        <v>2022-12-11</v>
      </c>
      <c r="K151" s="8" t="s">
        <v>23</v>
      </c>
      <c r="L151" s="5" t="s">
        <v>97</v>
      </c>
      <c r="M151" s="5" t="s">
        <v>35</v>
      </c>
      <c r="N151" s="5">
        <v>1.5</v>
      </c>
      <c r="O151" s="9">
        <f>YEAR(Table2[[#This Row],[Date of Joining]])</f>
        <v>2024</v>
      </c>
      <c r="P151" s="9" t="str">
        <f t="shared" ca="1" si="2"/>
        <v>2+ years</v>
      </c>
    </row>
    <row r="152" spans="1:16" x14ac:dyDescent="0.2">
      <c r="A152" s="3" t="s">
        <v>16</v>
      </c>
      <c r="B152" s="3" t="s">
        <v>133</v>
      </c>
      <c r="C152" s="4">
        <v>196256</v>
      </c>
      <c r="D152" s="5" t="s">
        <v>211</v>
      </c>
      <c r="E152" s="6" t="d">
        <v>2024-03-15</v>
      </c>
      <c r="F152" s="6"/>
      <c r="G152" s="7" t="s">
        <v>38</v>
      </c>
      <c r="H152" s="4" t="s">
        <v>86</v>
      </c>
      <c r="I152" s="4" t="s">
        <v>39</v>
      </c>
      <c r="J152" s="8" t="d">
        <v>2021-05-03</v>
      </c>
      <c r="K152" s="8" t="s">
        <v>28</v>
      </c>
      <c r="L152" s="5" t="s">
        <v>97</v>
      </c>
      <c r="M152" s="5" t="s">
        <v>49</v>
      </c>
      <c r="N152" s="5">
        <v>3</v>
      </c>
      <c r="O152" s="9">
        <f>YEAR(Table2[[#This Row],[Date of Joining]])</f>
        <v>2024</v>
      </c>
      <c r="P152" s="9" t="str">
        <f t="shared" ca="1" si="2"/>
        <v>2+ years</v>
      </c>
    </row>
    <row r="153" spans="1:16" x14ac:dyDescent="0.2">
      <c r="A153" s="3" t="s">
        <v>16</v>
      </c>
      <c r="B153" s="3"/>
      <c r="C153" s="4">
        <v>107622</v>
      </c>
      <c r="D153" s="5" t="s">
        <v>212</v>
      </c>
      <c r="E153" s="6" t="d">
        <v>2024-03-15</v>
      </c>
      <c r="F153" s="6"/>
      <c r="G153" s="7" t="s">
        <v>57</v>
      </c>
      <c r="H153" s="4" t="s">
        <v>86</v>
      </c>
      <c r="I153" s="4" t="s">
        <v>39</v>
      </c>
      <c r="J153" s="8" t="d">
        <v>2021-04-28</v>
      </c>
      <c r="K153" s="8" t="s">
        <v>23</v>
      </c>
      <c r="L153" s="5" t="s">
        <v>29</v>
      </c>
      <c r="M153" s="5" t="s">
        <v>49</v>
      </c>
      <c r="N153" s="5">
        <v>13</v>
      </c>
      <c r="O153" s="9">
        <f>YEAR(Table2[[#This Row],[Date of Joining]])</f>
        <v>2024</v>
      </c>
      <c r="P153" s="9" t="str">
        <f t="shared" ca="1" si="2"/>
        <v>2+ years</v>
      </c>
    </row>
    <row r="154" spans="1:16" x14ac:dyDescent="0.2">
      <c r="A154" s="3" t="s">
        <v>16</v>
      </c>
      <c r="B154" s="3"/>
      <c r="C154" s="4">
        <v>140845</v>
      </c>
      <c r="D154" s="5" t="s">
        <v>213</v>
      </c>
      <c r="E154" s="6" t="d">
        <v>2024-03-23</v>
      </c>
      <c r="F154" s="6"/>
      <c r="G154" s="5" t="s">
        <v>43</v>
      </c>
      <c r="H154" s="4" t="s">
        <v>86</v>
      </c>
      <c r="I154" s="4" t="s">
        <v>22</v>
      </c>
      <c r="J154" s="8" t="d">
        <v>2023-06-04</v>
      </c>
      <c r="K154" s="8" t="s">
        <v>23</v>
      </c>
      <c r="L154" s="5" t="s">
        <v>29</v>
      </c>
      <c r="M154" s="5" t="s">
        <v>49</v>
      </c>
      <c r="N154" s="5">
        <v>10</v>
      </c>
      <c r="O154" s="9">
        <f>YEAR(Table2[[#This Row],[Date of Joining]])</f>
        <v>2024</v>
      </c>
      <c r="P154" s="9" t="str">
        <f t="shared" ca="1" si="2"/>
        <v>2+ years</v>
      </c>
    </row>
    <row r="155" spans="1:16" x14ac:dyDescent="0.2">
      <c r="A155" s="3" t="s">
        <v>16</v>
      </c>
      <c r="B155" s="3"/>
      <c r="C155" s="4">
        <v>196163</v>
      </c>
      <c r="D155" s="5" t="s">
        <v>214</v>
      </c>
      <c r="E155" s="6" t="d">
        <v>2024-03-23</v>
      </c>
      <c r="F155" s="6"/>
      <c r="G155" s="5" t="s">
        <v>52</v>
      </c>
      <c r="H155" s="4" t="s">
        <v>86</v>
      </c>
      <c r="I155" s="4" t="s">
        <v>22</v>
      </c>
      <c r="J155" s="8" t="d">
        <v>2022-12-16</v>
      </c>
      <c r="K155" s="8" t="s">
        <v>23</v>
      </c>
      <c r="L155" s="5" t="s">
        <v>97</v>
      </c>
      <c r="M155" s="5" t="s">
        <v>49</v>
      </c>
      <c r="N155" s="5">
        <v>6.8</v>
      </c>
      <c r="O155" s="9">
        <f>YEAR(Table2[[#This Row],[Date of Joining]])</f>
        <v>2024</v>
      </c>
      <c r="P155" s="9" t="str">
        <f t="shared" ca="1" si="2"/>
        <v>2+ years</v>
      </c>
    </row>
    <row r="156" spans="1:16" x14ac:dyDescent="0.2">
      <c r="A156" s="3" t="s">
        <v>16</v>
      </c>
      <c r="B156" s="3"/>
      <c r="C156" s="4">
        <v>143527</v>
      </c>
      <c r="D156" s="5" t="s">
        <v>215</v>
      </c>
      <c r="E156" s="6" t="d">
        <v>2024-03-23</v>
      </c>
      <c r="F156" s="6"/>
      <c r="G156" s="7" t="s">
        <v>20</v>
      </c>
      <c r="H156" s="4" t="s">
        <v>86</v>
      </c>
      <c r="I156" s="4" t="s">
        <v>22</v>
      </c>
      <c r="J156" s="8" t="d">
        <v>2021-02-14</v>
      </c>
      <c r="K156" s="8" t="s">
        <v>28</v>
      </c>
      <c r="L156" s="5" t="s">
        <v>89</v>
      </c>
      <c r="M156" s="5" t="s">
        <v>40</v>
      </c>
      <c r="N156" s="5">
        <v>7</v>
      </c>
      <c r="O156" s="9">
        <f>YEAR(Table2[[#This Row],[Date of Joining]])</f>
        <v>2024</v>
      </c>
      <c r="P156" s="9" t="str">
        <f t="shared" ca="1" si="2"/>
        <v>2+ years</v>
      </c>
    </row>
    <row r="157" spans="1:16" x14ac:dyDescent="0.2">
      <c r="A157" s="3" t="s">
        <v>16</v>
      </c>
      <c r="B157" s="3"/>
      <c r="C157" s="4">
        <v>121781</v>
      </c>
      <c r="D157" s="5" t="s">
        <v>216</v>
      </c>
      <c r="E157" s="6" t="d">
        <v>2024-03-23</v>
      </c>
      <c r="F157" s="6"/>
      <c r="G157" s="7" t="s">
        <v>20</v>
      </c>
      <c r="H157" s="4" t="s">
        <v>86</v>
      </c>
      <c r="I157" s="4" t="s">
        <v>22</v>
      </c>
      <c r="J157" s="8" t="d">
        <v>2021-03-11</v>
      </c>
      <c r="K157" s="8" t="s">
        <v>23</v>
      </c>
      <c r="L157" s="5" t="s">
        <v>89</v>
      </c>
      <c r="M157" s="5" t="s">
        <v>40</v>
      </c>
      <c r="N157" s="5">
        <v>13</v>
      </c>
      <c r="O157" s="9">
        <f>YEAR(Table2[[#This Row],[Date of Joining]])</f>
        <v>2024</v>
      </c>
      <c r="P157" s="9" t="str">
        <f t="shared" ca="1" si="2"/>
        <v>2+ years</v>
      </c>
    </row>
    <row r="158" spans="1:16" x14ac:dyDescent="0.2">
      <c r="A158" s="3" t="s">
        <v>16</v>
      </c>
      <c r="B158" s="3" t="s">
        <v>133</v>
      </c>
      <c r="C158" s="4">
        <v>190716</v>
      </c>
      <c r="D158" s="5" t="s">
        <v>217</v>
      </c>
      <c r="E158" s="6" t="d">
        <v>2024-04-03</v>
      </c>
      <c r="F158" s="6"/>
      <c r="G158" s="5" t="s">
        <v>43</v>
      </c>
      <c r="H158" s="4" t="s">
        <v>86</v>
      </c>
      <c r="I158" s="4" t="s">
        <v>39</v>
      </c>
      <c r="J158" s="8" t="d">
        <v>2021-06-15</v>
      </c>
      <c r="K158" s="8" t="s">
        <v>28</v>
      </c>
      <c r="L158" s="5" t="s">
        <v>97</v>
      </c>
      <c r="M158" s="5" t="s">
        <v>40</v>
      </c>
      <c r="N158" s="5">
        <v>4</v>
      </c>
      <c r="O158" s="9">
        <f>YEAR(Table2[[#This Row],[Date of Joining]])</f>
        <v>2024</v>
      </c>
      <c r="P158" s="9" t="str">
        <f t="shared" ca="1" si="2"/>
        <v>2+ years</v>
      </c>
    </row>
    <row r="159" spans="1:16" x14ac:dyDescent="0.2">
      <c r="A159" s="3" t="s">
        <v>16</v>
      </c>
      <c r="B159" s="3"/>
      <c r="C159" s="4">
        <v>131453</v>
      </c>
      <c r="D159" s="5" t="s">
        <v>218</v>
      </c>
      <c r="E159" s="6" t="d">
        <v>2024-04-03</v>
      </c>
      <c r="F159" s="6"/>
      <c r="G159" s="7" t="s">
        <v>57</v>
      </c>
      <c r="H159" s="4" t="s">
        <v>86</v>
      </c>
      <c r="I159" s="4" t="s">
        <v>22</v>
      </c>
      <c r="J159" s="8" t="d">
        <v>2023-01-14</v>
      </c>
      <c r="K159" s="8" t="s">
        <v>23</v>
      </c>
      <c r="L159" s="5" t="s">
        <v>97</v>
      </c>
      <c r="M159" s="5" t="s">
        <v>24</v>
      </c>
      <c r="N159" s="5">
        <v>8</v>
      </c>
      <c r="O159" s="9">
        <f>YEAR(Table2[[#This Row],[Date of Joining]])</f>
        <v>2024</v>
      </c>
      <c r="P159" s="9" t="str">
        <f t="shared" ca="1" si="2"/>
        <v>2+ years</v>
      </c>
    </row>
    <row r="160" spans="1:16" x14ac:dyDescent="0.2">
      <c r="A160" s="3" t="s">
        <v>16</v>
      </c>
      <c r="B160" s="3"/>
      <c r="C160" s="4">
        <v>133611</v>
      </c>
      <c r="D160" s="5" t="s">
        <v>219</v>
      </c>
      <c r="E160" s="6" t="d">
        <v>2024-04-19</v>
      </c>
      <c r="F160" s="6"/>
      <c r="G160" s="7" t="s">
        <v>57</v>
      </c>
      <c r="H160" s="4" t="s">
        <v>86</v>
      </c>
      <c r="I160" s="4" t="s">
        <v>39</v>
      </c>
      <c r="J160" s="8" t="d">
        <v>1999-05-20</v>
      </c>
      <c r="K160" s="8" t="s">
        <v>23</v>
      </c>
      <c r="L160" s="5" t="s">
        <v>97</v>
      </c>
      <c r="M160" s="5" t="s">
        <v>62</v>
      </c>
      <c r="N160" s="5">
        <v>0</v>
      </c>
      <c r="O160" s="9">
        <f>YEAR(Table2[[#This Row],[Date of Joining]])</f>
        <v>2024</v>
      </c>
      <c r="P160" s="9" t="str">
        <f t="shared" ca="1" si="2"/>
        <v>2+ years</v>
      </c>
    </row>
    <row r="161" spans="1:16" x14ac:dyDescent="0.2">
      <c r="A161" s="3" t="s">
        <v>16</v>
      </c>
      <c r="B161" s="3"/>
      <c r="C161" s="4">
        <v>158773</v>
      </c>
      <c r="D161" s="5" t="s">
        <v>220</v>
      </c>
      <c r="E161" s="6" t="d">
        <v>2024-05-15</v>
      </c>
      <c r="F161" s="6"/>
      <c r="G161" s="5" t="s">
        <v>43</v>
      </c>
      <c r="H161" s="4" t="s">
        <v>86</v>
      </c>
      <c r="I161" s="4" t="s">
        <v>22</v>
      </c>
      <c r="J161" s="8" t="d">
        <v>2023-05-27</v>
      </c>
      <c r="K161" s="8" t="s">
        <v>23</v>
      </c>
      <c r="L161" s="5" t="s">
        <v>97</v>
      </c>
      <c r="M161" s="5" t="s">
        <v>40</v>
      </c>
      <c r="N161" s="5">
        <v>3</v>
      </c>
      <c r="O161" s="9">
        <f>YEAR(Table2[[#This Row],[Date of Joining]])</f>
        <v>2024</v>
      </c>
      <c r="P161" s="9" t="str">
        <f t="shared" ca="1" si="2"/>
        <v>2+ years</v>
      </c>
    </row>
    <row r="162" spans="1:16" x14ac:dyDescent="0.2">
      <c r="A162" s="3" t="s">
        <v>16</v>
      </c>
      <c r="B162" s="3"/>
      <c r="C162" s="4">
        <v>109333</v>
      </c>
      <c r="D162" s="5" t="s">
        <v>221</v>
      </c>
      <c r="E162" s="6" t="d">
        <v>2024-05-22</v>
      </c>
      <c r="F162" s="6"/>
      <c r="G162" s="7" t="s">
        <v>38</v>
      </c>
      <c r="H162" s="4" t="s">
        <v>86</v>
      </c>
      <c r="I162" s="4" t="s">
        <v>22</v>
      </c>
      <c r="J162" s="8" t="d">
        <v>2023-08-04</v>
      </c>
      <c r="K162" s="8" t="s">
        <v>28</v>
      </c>
      <c r="L162" s="5" t="s">
        <v>29</v>
      </c>
      <c r="M162" s="5" t="s">
        <v>35</v>
      </c>
      <c r="N162" s="5">
        <v>10</v>
      </c>
      <c r="O162" s="9">
        <f>YEAR(Table2[[#This Row],[Date of Joining]])</f>
        <v>2024</v>
      </c>
      <c r="P162" s="9" t="str">
        <f t="shared" ca="1" si="2"/>
        <v>2+ years</v>
      </c>
    </row>
    <row r="163" spans="1:16" x14ac:dyDescent="0.2">
      <c r="A163" s="3" t="s">
        <v>16</v>
      </c>
      <c r="B163" s="3"/>
      <c r="C163" s="4">
        <v>165233</v>
      </c>
      <c r="D163" s="5" t="s">
        <v>222</v>
      </c>
      <c r="E163" s="6" t="d">
        <v>2024-06-12</v>
      </c>
      <c r="F163" s="6"/>
      <c r="G163" s="7" t="s">
        <v>38</v>
      </c>
      <c r="H163" s="4" t="s">
        <v>86</v>
      </c>
      <c r="I163" s="4" t="s">
        <v>22</v>
      </c>
      <c r="J163" s="8" t="d">
        <v>2023-04-06</v>
      </c>
      <c r="K163" s="8" t="s">
        <v>23</v>
      </c>
      <c r="L163" s="5" t="s">
        <v>97</v>
      </c>
      <c r="M163" s="5" t="s">
        <v>40</v>
      </c>
      <c r="N163" s="5">
        <v>1.2</v>
      </c>
      <c r="O163" s="9">
        <f>YEAR(Table2[[#This Row],[Date of Joining]])</f>
        <v>2024</v>
      </c>
      <c r="P163" s="9" t="str">
        <f t="shared" ca="1" si="2"/>
        <v>2+ years</v>
      </c>
    </row>
    <row r="164" spans="1:16" x14ac:dyDescent="0.2">
      <c r="A164" s="3" t="s">
        <v>16</v>
      </c>
      <c r="B164" s="3" t="s">
        <v>133</v>
      </c>
      <c r="C164" s="4">
        <v>103360</v>
      </c>
      <c r="D164" s="5" t="s">
        <v>223</v>
      </c>
      <c r="E164" s="6" t="d">
        <v>2024-10-04</v>
      </c>
      <c r="F164" s="6"/>
      <c r="G164" s="7" t="s">
        <v>38</v>
      </c>
      <c r="H164" s="4" t="s">
        <v>86</v>
      </c>
      <c r="I164" s="4" t="s">
        <v>39</v>
      </c>
      <c r="J164" s="8" t="d">
        <v>2001-04-01</v>
      </c>
      <c r="K164" s="8" t="s">
        <v>23</v>
      </c>
      <c r="L164" s="5" t="s">
        <v>97</v>
      </c>
      <c r="M164" s="5" t="s">
        <v>49</v>
      </c>
      <c r="N164" s="5">
        <v>0.11</v>
      </c>
      <c r="O164" s="9">
        <f>YEAR(Table2[[#This Row],[Date of Joining]])</f>
        <v>2024</v>
      </c>
      <c r="P164" s="9" t="str">
        <f t="shared" ca="1" si="2"/>
        <v>1+ years</v>
      </c>
    </row>
    <row r="165" spans="1:16" x14ac:dyDescent="0.2">
      <c r="A165" s="3" t="s">
        <v>16</v>
      </c>
      <c r="B165" s="3"/>
      <c r="C165" s="4">
        <v>168841</v>
      </c>
      <c r="D165" s="5" t="s">
        <v>80</v>
      </c>
      <c r="E165" s="6" t="d">
        <v>2024-10-04</v>
      </c>
      <c r="F165" s="6"/>
      <c r="G165" s="7" t="s">
        <v>38</v>
      </c>
      <c r="H165" s="4" t="s">
        <v>86</v>
      </c>
      <c r="I165" s="4" t="s">
        <v>22</v>
      </c>
      <c r="J165" s="8" t="d">
        <v>1982-01-03</v>
      </c>
      <c r="K165" s="8" t="s">
        <v>28</v>
      </c>
      <c r="L165" s="5" t="s">
        <v>89</v>
      </c>
      <c r="M165" s="5" t="s">
        <v>62</v>
      </c>
      <c r="N165" s="5">
        <v>19</v>
      </c>
      <c r="O165" s="9">
        <f>YEAR(Table2[[#This Row],[Date of Joining]])</f>
        <v>2024</v>
      </c>
      <c r="P165" s="9" t="str">
        <f t="shared" ca="1" si="2"/>
        <v>1+ years</v>
      </c>
    </row>
    <row r="166" spans="1:16" x14ac:dyDescent="0.2">
      <c r="A166" s="3" t="s">
        <v>25</v>
      </c>
      <c r="B166" s="3"/>
      <c r="C166" s="4">
        <v>123680</v>
      </c>
      <c r="D166" s="5" t="s">
        <v>224</v>
      </c>
      <c r="E166" s="6" t="d">
        <v>2025-01-01</v>
      </c>
      <c r="F166" s="6"/>
      <c r="G166" s="5" t="s">
        <v>80</v>
      </c>
      <c r="H166" s="4" t="s">
        <v>86</v>
      </c>
      <c r="I166" s="4" t="s">
        <v>39</v>
      </c>
      <c r="J166" s="8" t="d">
        <v>2021-01-15</v>
      </c>
      <c r="K166" s="8" t="s">
        <v>23</v>
      </c>
      <c r="L166" s="5" t="s">
        <v>97</v>
      </c>
      <c r="M166" s="5" t="s">
        <v>24</v>
      </c>
      <c r="N166" s="5">
        <v>0</v>
      </c>
      <c r="O166" s="9">
        <f>YEAR(Table2[[#This Row],[Date of Joining]])</f>
        <v>2025</v>
      </c>
      <c r="P166" s="9" t="str">
        <f t="shared" ca="1" si="2"/>
        <v>1+ years</v>
      </c>
    </row>
    <row r="167" spans="1:16" x14ac:dyDescent="0.2">
      <c r="A167" s="3" t="s">
        <v>16</v>
      </c>
      <c r="B167" s="3"/>
      <c r="C167" s="4">
        <v>136555</v>
      </c>
      <c r="D167" s="5" t="s">
        <v>225</v>
      </c>
      <c r="E167" s="6" t="d">
        <v>2025-01-05</v>
      </c>
      <c r="F167" s="6"/>
      <c r="G167" s="5" t="s">
        <v>80</v>
      </c>
      <c r="H167" s="4" t="s">
        <v>86</v>
      </c>
      <c r="I167" s="4" t="s">
        <v>22</v>
      </c>
      <c r="J167" s="8" t="d">
        <v>2021-10-03</v>
      </c>
      <c r="K167" s="8" t="s">
        <v>28</v>
      </c>
      <c r="L167" s="5" t="s">
        <v>89</v>
      </c>
      <c r="M167" s="5" t="s">
        <v>30</v>
      </c>
      <c r="N167" s="5">
        <v>5</v>
      </c>
      <c r="O167" s="9">
        <f>YEAR(Table2[[#This Row],[Date of Joining]])</f>
        <v>2025</v>
      </c>
      <c r="P167" s="9" t="str">
        <f t="shared" ca="1" si="2"/>
        <v>1+ years</v>
      </c>
    </row>
    <row r="168" spans="1:16" x14ac:dyDescent="0.2">
      <c r="A168" s="3" t="s">
        <v>16</v>
      </c>
      <c r="B168" s="3"/>
      <c r="C168" s="4">
        <v>109886</v>
      </c>
      <c r="D168" s="5" t="s">
        <v>226</v>
      </c>
      <c r="E168" s="6" t="d">
        <v>2025-01-07</v>
      </c>
      <c r="F168" s="6"/>
      <c r="G168" s="5" t="s">
        <v>80</v>
      </c>
      <c r="H168" s="4" t="s">
        <v>86</v>
      </c>
      <c r="I168" s="4" t="s">
        <v>39</v>
      </c>
      <c r="J168" s="8" t="d">
        <v>2021-12-10</v>
      </c>
      <c r="K168" s="8" t="s">
        <v>28</v>
      </c>
      <c r="L168" s="5" t="s">
        <v>89</v>
      </c>
      <c r="M168" s="5" t="s">
        <v>24</v>
      </c>
      <c r="N168" s="5">
        <v>14</v>
      </c>
      <c r="O168" s="9">
        <f>YEAR(Table2[[#This Row],[Date of Joining]])</f>
        <v>2025</v>
      </c>
      <c r="P168" s="9" t="str">
        <f t="shared" ca="1" si="2"/>
        <v>1+ years</v>
      </c>
    </row>
    <row r="169" spans="1:16" x14ac:dyDescent="0.2">
      <c r="A169" s="3" t="s">
        <v>16</v>
      </c>
      <c r="B169" s="3"/>
      <c r="C169" s="4">
        <v>135596</v>
      </c>
      <c r="D169" s="5" t="s">
        <v>227</v>
      </c>
      <c r="E169" s="6" t="d">
        <v>2025-01-14</v>
      </c>
      <c r="F169" s="6"/>
      <c r="G169" s="5" t="s">
        <v>43</v>
      </c>
      <c r="H169" s="4" t="s">
        <v>86</v>
      </c>
      <c r="I169" s="4" t="s">
        <v>22</v>
      </c>
      <c r="J169" s="8" t="d">
        <v>2021-03-14</v>
      </c>
      <c r="K169" s="8" t="s">
        <v>23</v>
      </c>
      <c r="L169" s="5" t="s">
        <v>29</v>
      </c>
      <c r="M169" s="5" t="s">
        <v>24</v>
      </c>
      <c r="N169" s="5">
        <v>0</v>
      </c>
      <c r="O169" s="9">
        <f>YEAR(Table2[[#This Row],[Date of Joining]])</f>
        <v>2025</v>
      </c>
      <c r="P169" s="9" t="str">
        <f t="shared" ca="1" si="2"/>
        <v>1+ years</v>
      </c>
    </row>
    <row r="170" spans="1:16" x14ac:dyDescent="0.2">
      <c r="A170" s="3" t="s">
        <v>16</v>
      </c>
      <c r="B170" s="3"/>
      <c r="C170" s="4">
        <v>102045</v>
      </c>
      <c r="D170" s="5" t="s">
        <v>228</v>
      </c>
      <c r="E170" s="6" t="d">
        <v>2025-03-04</v>
      </c>
      <c r="F170" s="6"/>
      <c r="G170" s="7" t="s">
        <v>38</v>
      </c>
      <c r="H170" s="4" t="s">
        <v>86</v>
      </c>
      <c r="I170" s="4" t="s">
        <v>39</v>
      </c>
      <c r="J170" s="8" t="d">
        <v>2021-01-20</v>
      </c>
      <c r="K170" s="8" t="s">
        <v>23</v>
      </c>
      <c r="L170" s="5" t="s">
        <v>89</v>
      </c>
      <c r="M170" s="5" t="s">
        <v>30</v>
      </c>
      <c r="N170" s="5">
        <v>17</v>
      </c>
      <c r="O170" s="9">
        <f>YEAR(Table2[[#This Row],[Date of Joining]])</f>
        <v>2025</v>
      </c>
      <c r="P170" s="9" t="str">
        <f t="shared" ca="1" si="2"/>
        <v>1+ years</v>
      </c>
    </row>
    <row r="171" spans="1:16" x14ac:dyDescent="0.2">
      <c r="A171" s="3" t="s">
        <v>16</v>
      </c>
      <c r="B171" s="3"/>
      <c r="C171" s="4">
        <v>137966</v>
      </c>
      <c r="D171" s="5" t="s">
        <v>229</v>
      </c>
      <c r="E171" s="6" t="d">
        <v>2025-07-14</v>
      </c>
      <c r="F171" s="6"/>
      <c r="G171" s="7" t="s">
        <v>38</v>
      </c>
      <c r="H171" s="4" t="s">
        <v>86</v>
      </c>
      <c r="I171" s="4" t="s">
        <v>22</v>
      </c>
      <c r="J171" s="8" t="d">
        <v>2021-11-07</v>
      </c>
      <c r="K171" s="8" t="s">
        <v>28</v>
      </c>
      <c r="L171" s="5" t="s">
        <v>29</v>
      </c>
      <c r="M171" s="5" t="s">
        <v>24</v>
      </c>
      <c r="N171" s="5">
        <v>9</v>
      </c>
      <c r="O171" s="9">
        <f>YEAR(Table2[[#This Row],[Date of Joining]])</f>
        <v>2025</v>
      </c>
      <c r="P171" s="9" t="str">
        <f t="shared" ca="1" si="2"/>
        <v>&lt;1 year</v>
      </c>
    </row>
    <row r="172" spans="1:16" x14ac:dyDescent="0.2">
      <c r="A172" s="3" t="s">
        <v>16</v>
      </c>
      <c r="B172" s="3"/>
      <c r="C172" s="4">
        <v>146341</v>
      </c>
      <c r="D172" s="5" t="s">
        <v>230</v>
      </c>
      <c r="E172" s="6" t="d">
        <v>2025-07-19</v>
      </c>
      <c r="F172" s="6"/>
      <c r="G172" s="7" t="s">
        <v>38</v>
      </c>
      <c r="H172" s="4" t="s">
        <v>86</v>
      </c>
      <c r="I172" s="4" t="s">
        <v>39</v>
      </c>
      <c r="J172" s="8" t="d">
        <v>2021-01-24</v>
      </c>
      <c r="K172" s="8" t="s">
        <v>28</v>
      </c>
      <c r="L172" s="5" t="s">
        <v>29</v>
      </c>
      <c r="M172" s="5" t="s">
        <v>24</v>
      </c>
      <c r="N172" s="5">
        <v>13</v>
      </c>
      <c r="O172" s="9">
        <f>YEAR(Table2[[#This Row],[Date of Joining]])</f>
        <v>2025</v>
      </c>
      <c r="P172" s="9" t="str">
        <f t="shared" ca="1" si="2"/>
        <v>&lt;1 year</v>
      </c>
    </row>
  </sheetData>
  <conditionalFormatting sqref="A2:A172 H2:P51 C2:E172 G12 G20 G28 G52:P52 H53:P53 G54:P55 H56:P56 G57:P57 H58:P58 G59:P60 H61:P62 G63:P63 H64:P66 G67:P70 H71:P71 G72:P74 H75:P75 G76:P77 H78:P79 G80:P80 H81:P82 G83:P84 H85:P85 G86:P88 H89:P89 G90:P102 H103:P103 G104:P108 H109:P109 G110:P113 H114:P114 G115:P125 H126:P126 G127:P131 H132:P132 G133:P134 H135:P135 G136:P136 H137:P137 G138:P139 H140:P140 G141:P143 H144:P172">
    <cfRule type="containsBlanks" dxfId="159" priority="28">
      <formula>LEN(TRIM(A2))=0</formula>
    </cfRule>
  </conditionalFormatting>
  <conditionalFormatting sqref="A2:A172">
    <cfRule type="cellIs" dxfId="158" priority="21" operator="equal">
      <formula>"Open Position"</formula>
    </cfRule>
  </conditionalFormatting>
  <conditionalFormatting sqref="E46">
    <cfRule type="containsBlanks" dxfId="157" priority="26">
      <formula>LEN(TRIM(E46))=0</formula>
    </cfRule>
  </conditionalFormatting>
  <conditionalFormatting sqref="G2:G4">
    <cfRule type="containsBlanks" dxfId="156" priority="18">
      <formula>LEN(TRIM(G2))=0</formula>
    </cfRule>
  </conditionalFormatting>
  <conditionalFormatting sqref="G7">
    <cfRule type="containsBlanks" dxfId="155" priority="14">
      <formula>LEN(TRIM(G7))=0</formula>
    </cfRule>
  </conditionalFormatting>
  <conditionalFormatting sqref="G33">
    <cfRule type="containsBlanks" dxfId="154" priority="25">
      <formula>LEN(TRIM(G33))=0</formula>
    </cfRule>
  </conditionalFormatting>
  <conditionalFormatting sqref="G37:G38">
    <cfRule type="containsBlanks" dxfId="153" priority="5">
      <formula>LEN(TRIM(G37))=0</formula>
    </cfRule>
  </conditionalFormatting>
  <conditionalFormatting sqref="G46:G47">
    <cfRule type="containsBlanks" dxfId="152" priority="15">
      <formula>LEN(TRIM(G46))=0</formula>
    </cfRule>
  </conditionalFormatting>
  <conditionalFormatting sqref="G49">
    <cfRule type="containsBlanks" dxfId="151" priority="16">
      <formula>LEN(TRIM(G49))=0</formula>
    </cfRule>
  </conditionalFormatting>
  <conditionalFormatting sqref="G51">
    <cfRule type="containsBlanks" dxfId="150" priority="17">
      <formula>LEN(TRIM(G51))=0</formula>
    </cfRule>
  </conditionalFormatting>
  <conditionalFormatting sqref="G56">
    <cfRule type="containsBlanks" dxfId="149" priority="13">
      <formula>LEN(TRIM(G56))=0</formula>
    </cfRule>
  </conditionalFormatting>
  <conditionalFormatting sqref="G64">
    <cfRule type="containsBlanks" dxfId="148" priority="6">
      <formula>LEN(TRIM(G64))=0</formula>
    </cfRule>
  </conditionalFormatting>
  <conditionalFormatting sqref="G71">
    <cfRule type="containsBlanks" dxfId="147" priority="12">
      <formula>LEN(TRIM(G71))=0</formula>
    </cfRule>
  </conditionalFormatting>
  <conditionalFormatting sqref="G75">
    <cfRule type="containsBlanks" dxfId="146" priority="11">
      <formula>LEN(TRIM(G75))=0</formula>
    </cfRule>
  </conditionalFormatting>
  <conditionalFormatting sqref="G78:G79">
    <cfRule type="containsBlanks" dxfId="145" priority="4">
      <formula>LEN(TRIM(G78))=0</formula>
    </cfRule>
  </conditionalFormatting>
  <conditionalFormatting sqref="G85">
    <cfRule type="containsBlanks" dxfId="144" priority="3">
      <formula>LEN(TRIM(G85))=0</formula>
    </cfRule>
  </conditionalFormatting>
  <conditionalFormatting sqref="G132">
    <cfRule type="containsBlanks" dxfId="143" priority="8">
      <formula>LEN(TRIM(G132))=0</formula>
    </cfRule>
  </conditionalFormatting>
  <conditionalFormatting sqref="G137">
    <cfRule type="containsBlanks" dxfId="142" priority="9">
      <formula>LEN(TRIM(G137))=0</formula>
    </cfRule>
  </conditionalFormatting>
  <conditionalFormatting sqref="G140">
    <cfRule type="containsBlanks" dxfId="141" priority="2">
      <formula>LEN(TRIM(G140))=0</formula>
    </cfRule>
  </conditionalFormatting>
  <conditionalFormatting sqref="G144:G145">
    <cfRule type="containsBlanks" dxfId="140" priority="1">
      <formula>LEN(TRIM(G144))=0</formula>
    </cfRule>
  </conditionalFormatting>
  <conditionalFormatting sqref="G147 G150">
    <cfRule type="containsBlanks" dxfId="139" priority="7">
      <formula>LEN(TRIM(G147))=0</formula>
    </cfRule>
  </conditionalFormatting>
  <conditionalFormatting sqref="G156:G161">
    <cfRule type="containsBlanks" dxfId="138" priority="10">
      <formula>LEN(TRIM(G156))=0</formula>
    </cfRule>
  </conditionalFormatting>
  <conditionalFormatting sqref="G170">
    <cfRule type="containsBlanks" dxfId="137" priority="19">
      <formula>LEN(TRIM(G170))=0</formula>
    </cfRule>
  </conditionalFormatting>
  <conditionalFormatting sqref="M39 M67 M84 M97 M111 M113 M115 M122 M129 M132:M133">
    <cfRule type="containsBlanks" dxfId="136" priority="27">
      <formula>LEN(TRIM(M39))=0</formula>
    </cfRule>
  </conditionalFormatting>
  <hyperlinks>
    <hyperlink ref="D96" r:id="rId1" display="Prashantha.S@otis.com" xr:uid="{32945571-D028-4147-AEFC-1AC049F3F737}"/>
    <hyperlink ref="D13" r:id="rId2" display="Ishwarya.S@otis.com" xr:uid="{A2E5EEF4-DCF0-451D-BE90-0D9C27CABDF9}"/>
    <hyperlink ref="D124" r:id="rId3" display="vijay.patil@otis.com" xr:uid="{BB925652-F33F-4465-929F-42E3B621CE18}"/>
  </hyperlinks>
  <pageMargins left="0.7" right="0.7" top="0.75" bottom="0.75" header="0.3" footer="0.3"/>
  <tableParts count="1">
    <tablePart r:id="rId4"/>
  </tableParts>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dashboard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Kritika Pandey</cp:lastModifiedBy>
  <dcterms:created xsi:type="dcterms:W3CDTF">2025-11-28T13:26:08Z</dcterms:created>
  <dcterms:modified xsi:type="dcterms:W3CDTF">2026-07-03T16:17:02Z</dcterms:modified>
</cp:coreProperties>
</file>